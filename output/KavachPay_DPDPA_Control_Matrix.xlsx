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Company Profile" sheetId="2" state="visible" r:id="rId2"/>
    <sheet xmlns:r="http://schemas.openxmlformats.org/officeDocument/2006/relationships" name="Instructions" sheetId="3" state="visible" r:id="rId3"/>
    <sheet xmlns:r="http://schemas.openxmlformats.org/officeDocument/2006/relationships" name="Control Matrix" sheetId="4" state="visible" r:id="rId4"/>
    <sheet xmlns:r="http://schemas.openxmlformats.org/officeDocument/2006/relationships" name="Evidence Log" sheetId="5" state="visible" r:id="rId5"/>
    <sheet xmlns:r="http://schemas.openxmlformats.org/officeDocument/2006/relationships" name="Citations" sheetId="6" state="visible" r:id="rId6"/>
  </sheets>
  <definedNames>
    <definedName name="_xlnm._FilterDatabase" localSheetId="3" hidden="1">'Control Matrix'!$A$1:$AE$91</definedName>
    <definedName name="_xlnm._FilterDatabase" localSheetId="4" hidden="1">'Evidence Log'!$A$1:$I$59</definedName>
  </definedNames>
  <calcPr calcId="124519" fullCalcOnLoad="1"/>
</workbook>
</file>

<file path=xl/styles.xml><?xml version="1.0" encoding="utf-8"?>
<styleSheet xmlns="http://schemas.openxmlformats.org/spreadsheetml/2006/main">
  <numFmts count="1">
    <numFmt numFmtId="164" formatCode="0.0%"/>
  </numFmts>
  <fonts count="16">
    <font>
      <name val="Calibri"/>
      <family val="2"/>
      <color theme="1"/>
      <sz val="11"/>
      <scheme val="minor"/>
    </font>
    <font>
      <name val="Arial"/>
      <b val="1"/>
      <color rgb="001F3552"/>
      <sz val="16"/>
    </font>
    <font>
      <name val="Arial"/>
      <color rgb="0044546A"/>
      <sz val="8"/>
    </font>
    <font>
      <name val="Arial"/>
      <b val="1"/>
      <sz val="9"/>
    </font>
    <font>
      <name val="Arial"/>
      <sz val="9"/>
    </font>
    <font>
      <name val="Arial"/>
      <b val="1"/>
      <color rgb="001F3552"/>
      <sz val="11"/>
    </font>
    <font>
      <name val="Arial"/>
      <b val="1"/>
      <color rgb="00FFFFFF"/>
      <sz val="9"/>
    </font>
    <font>
      <name val="Arial"/>
      <b val="1"/>
      <sz val="11"/>
    </font>
    <font>
      <name val="Arial"/>
      <i val="1"/>
      <color rgb="00808080"/>
      <sz val="9"/>
    </font>
    <font>
      <name val="Arial"/>
      <b val="1"/>
      <color rgb="001F3552"/>
      <sz val="20"/>
    </font>
    <font>
      <name val="Arial"/>
      <b val="1"/>
      <color rgb="00C00000"/>
      <sz val="11"/>
    </font>
    <font>
      <name val="Arial"/>
      <b val="1"/>
      <color rgb="00C00000"/>
      <sz val="10"/>
    </font>
    <font>
      <name val="Arial"/>
      <b val="1"/>
      <color rgb="00BF8F00"/>
      <sz val="10"/>
    </font>
    <font>
      <name val="Arial"/>
      <b val="1"/>
      <color rgb="0044546A"/>
      <sz val="10"/>
    </font>
    <font>
      <name val="Arial"/>
      <b val="1"/>
      <color rgb="00375623"/>
      <sz val="10"/>
    </font>
    <font>
      <name val="Arial"/>
      <i val="1"/>
      <color rgb="0044546A"/>
      <sz val="9"/>
    </font>
  </fonts>
  <fills count="6">
    <fill>
      <patternFill/>
    </fill>
    <fill>
      <patternFill patternType="gray125"/>
    </fill>
    <fill>
      <patternFill patternType="solid">
        <fgColor rgb="00EEF2F7"/>
      </patternFill>
    </fill>
    <fill>
      <patternFill patternType="solid">
        <fgColor rgb="00FFF2CC"/>
      </patternFill>
    </fill>
    <fill>
      <patternFill patternType="solid">
        <fgColor rgb="001F3552"/>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5">
    <xf numFmtId="0" fontId="0" fillId="0" borderId="0" pivotButton="0" quotePrefix="0" xfId="0"/>
    <xf numFmtId="0" fontId="1" fillId="0" borderId="0" pivotButton="0" quotePrefix="0" xfId="0"/>
    <xf numFmtId="0" fontId="2" fillId="0" borderId="0" pivotButton="0" quotePrefix="0" xfId="0"/>
    <xf numFmtId="0" fontId="5" fillId="2" borderId="0" pivotButton="0" quotePrefix="0" xfId="0"/>
    <xf numFmtId="0" fontId="0" fillId="2" borderId="0" pivotButton="0" quotePrefix="0" xfId="0"/>
    <xf numFmtId="0" fontId="3" fillId="0" borderId="0" pivotButton="0" quotePrefix="0" xfId="0"/>
    <xf numFmtId="164" fontId="9" fillId="0" borderId="1" applyAlignment="1" pivotButton="0" quotePrefix="0" xfId="0">
      <alignment horizontal="center" vertical="center"/>
    </xf>
    <xf numFmtId="0" fontId="2" fillId="0" borderId="0" applyAlignment="1" pivotButton="0" quotePrefix="0" xfId="0">
      <alignment vertical="top" wrapText="1"/>
    </xf>
    <xf numFmtId="0" fontId="3" fillId="0" borderId="1" applyAlignment="1" pivotButton="0" quotePrefix="0" xfId="0">
      <alignment horizontal="center" vertical="center"/>
    </xf>
    <xf numFmtId="164" fontId="3" fillId="0" borderId="1" applyAlignment="1" pivotButton="0" quotePrefix="0" xfId="0">
      <alignment horizontal="center" vertical="center"/>
    </xf>
    <xf numFmtId="0" fontId="10" fillId="0" borderId="1" applyAlignment="1" pivotButton="0" quotePrefix="0" xfId="0">
      <alignment horizontal="center" vertical="center"/>
    </xf>
    <xf numFmtId="0" fontId="6" fillId="4" borderId="1" applyAlignment="1" pivotButton="0" quotePrefix="0" xfId="0">
      <alignment horizontal="center" vertical="center" wrapText="1"/>
    </xf>
    <xf numFmtId="0" fontId="4" fillId="0" borderId="1" pivotButton="0" quotePrefix="0" xfId="0"/>
    <xf numFmtId="0" fontId="4" fillId="0" borderId="1" applyAlignment="1" pivotButton="0" quotePrefix="0" xfId="0">
      <alignment horizontal="center" vertical="center"/>
    </xf>
    <xf numFmtId="164" fontId="3" fillId="0" borderId="1" pivotButton="0" quotePrefix="0" xfId="0"/>
    <xf numFmtId="0" fontId="3" fillId="2" borderId="1" pivotButton="0" quotePrefix="0" xfId="0"/>
    <xf numFmtId="0" fontId="0" fillId="2" borderId="1" pivotButton="0" quotePrefix="0" xfId="0"/>
    <xf numFmtId="0" fontId="3" fillId="2" borderId="1" applyAlignment="1" pivotButton="0" quotePrefix="0" xfId="0">
      <alignment horizontal="center" vertical="center"/>
    </xf>
    <xf numFmtId="164" fontId="3" fillId="2" borderId="1" applyAlignment="1" pivotButton="0" quotePrefix="0" xfId="0">
      <alignment horizontal="center" vertical="center"/>
    </xf>
    <xf numFmtId="0" fontId="4" fillId="0" borderId="0" pivotButton="0" quotePrefix="0" xfId="0"/>
    <xf numFmtId="0" fontId="11" fillId="0" borderId="1" applyAlignment="1" pivotButton="0" quotePrefix="0" xfId="0">
      <alignment horizontal="center" vertical="center"/>
    </xf>
    <xf numFmtId="0" fontId="12" fillId="0" borderId="1" applyAlignment="1" pivotButton="0" quotePrefix="0" xfId="0">
      <alignment horizontal="center" vertical="center"/>
    </xf>
    <xf numFmtId="0" fontId="13" fillId="0" borderId="1" applyAlignment="1" pivotButton="0" quotePrefix="0" xfId="0">
      <alignment horizontal="center" vertical="center"/>
    </xf>
    <xf numFmtId="0" fontId="14" fillId="0" borderId="1" applyAlignment="1" pivotButton="0" quotePrefix="0" xfId="0">
      <alignment horizontal="center" vertical="center"/>
    </xf>
    <xf numFmtId="0" fontId="2" fillId="0" borderId="1" applyAlignment="1" pivotButton="0" quotePrefix="0" xfId="0">
      <alignment vertical="top" wrapText="1"/>
    </xf>
    <xf numFmtId="0" fontId="10" fillId="2" borderId="1" applyAlignment="1" pivotButton="0" quotePrefix="0" xfId="0">
      <alignment horizontal="center" vertical="center"/>
    </xf>
    <xf numFmtId="0" fontId="3" fillId="0" borderId="0" applyAlignment="1" pivotButton="0" quotePrefix="0" xfId="0">
      <alignment vertical="top" wrapText="1"/>
    </xf>
    <xf numFmtId="0" fontId="4" fillId="3" borderId="1" applyAlignment="1" pivotButton="0" quotePrefix="0" xfId="0">
      <alignment vertical="top" wrapText="1"/>
    </xf>
    <xf numFmtId="0" fontId="6" fillId="4" borderId="0" applyAlignment="1" pivotButton="0" quotePrefix="0" xfId="0">
      <alignment horizontal="center" vertical="center" wrapText="1"/>
    </xf>
    <xf numFmtId="0" fontId="3" fillId="3" borderId="1" applyAlignment="1" pivotButton="0" quotePrefix="0" xfId="0">
      <alignment horizontal="center" vertical="center"/>
    </xf>
    <xf numFmtId="0" fontId="4" fillId="0" borderId="0" applyAlignment="1" pivotButton="0" quotePrefix="0" xfId="0">
      <alignment vertical="top" wrapText="1"/>
    </xf>
    <xf numFmtId="0" fontId="5" fillId="0" borderId="0" pivotButton="0" quotePrefix="0" xfId="0"/>
    <xf numFmtId="0" fontId="3" fillId="3" borderId="0" pivotButton="0" quotePrefix="0" xfId="0"/>
    <xf numFmtId="0" fontId="4" fillId="0" borderId="1" applyAlignment="1" pivotButton="0" quotePrefix="0" xfId="0">
      <alignment vertical="top" wrapText="1"/>
    </xf>
    <xf numFmtId="0" fontId="4"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7" fillId="3" borderId="1" applyAlignment="1" pivotButton="0" quotePrefix="0" xfId="0">
      <alignment horizontal="center" vertical="center" wrapText="1"/>
    </xf>
    <xf numFmtId="0" fontId="4" fillId="5" borderId="1" applyAlignment="1" pivotButton="0" quotePrefix="0" xfId="0">
      <alignment vertical="top" wrapText="1"/>
    </xf>
    <xf numFmtId="0" fontId="8" fillId="0" borderId="1" applyAlignment="1" pivotButton="0" quotePrefix="0" xfId="0">
      <alignment vertical="top" wrapText="1"/>
    </xf>
    <xf numFmtId="0" fontId="8" fillId="5"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5" borderId="1" applyAlignment="1" pivotButton="0" quotePrefix="0" xfId="0">
      <alignment vertical="top" wrapText="1"/>
    </xf>
    <xf numFmtId="0" fontId="8" fillId="3" borderId="1" applyAlignment="1" pivotButton="0" quotePrefix="0" xfId="0">
      <alignment vertical="top" wrapText="1"/>
    </xf>
    <xf numFmtId="0" fontId="15" fillId="0"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J65"/>
  <sheetViews>
    <sheetView showGridLines="0" workbookViewId="0">
      <selection activeCell="A1" sqref="A1"/>
    </sheetView>
  </sheetViews>
  <sheetFormatPr baseColWidth="8" defaultRowHeight="15"/>
  <cols>
    <col width="3" customWidth="1" min="1" max="1"/>
    <col width="34" customWidth="1" min="2" max="2"/>
    <col width="13" customWidth="1" min="3" max="3"/>
    <col width="13" customWidth="1" min="4" max="4"/>
    <col width="13" customWidth="1" min="5" max="5"/>
    <col width="13" customWidth="1" min="6" max="6"/>
    <col width="15" customWidth="1" min="7" max="7"/>
    <col width="15" customWidth="1" min="8" max="8"/>
    <col width="40" customWidth="1" min="9" max="9"/>
  </cols>
  <sheetData>
    <row r="2">
      <c r="B2" s="1" t="inlineStr">
        <is>
          <t>DPDPA Compliance Dashboard</t>
        </is>
      </c>
    </row>
    <row r="3">
      <c r="B3" s="2" t="inlineStr">
        <is>
          <t>Kavach Financial Technologies Private Limited · assessed 2026-08-14 · all figures recalculate from the Control Matrix</t>
        </is>
      </c>
    </row>
    <row r="5">
      <c r="B5" s="3" t="inlineStr">
        <is>
          <t>OVERALL MATURITY</t>
        </is>
      </c>
      <c r="C5" s="4" t="n"/>
      <c r="D5" s="4" t="n"/>
      <c r="E5" s="4" t="n"/>
      <c r="F5" s="4" t="n"/>
      <c r="G5" s="4" t="n"/>
      <c r="H5" s="4" t="n"/>
      <c r="I5" s="4" t="n"/>
    </row>
    <row r="6">
      <c r="B6" s="5" t="inlineStr">
        <is>
          <t>Weighted maturity score</t>
        </is>
      </c>
      <c r="C6" s="6">
        <f>G33</f>
        <v/>
      </c>
      <c r="I6" s="7" t="inlineStr">
        <is>
          <t>Weighted by domain, so a domain with many controls does not mechanically dominate one with few but weighty ones.</t>
        </is>
      </c>
    </row>
    <row r="7">
      <c r="B7" s="5" t="inlineStr">
        <is>
          <t>Maturity band</t>
        </is>
      </c>
      <c r="C7" s="8">
        <f>IF(C6="","Not assessed",IF(C6&gt;=0.8,"Optimised",IF(C6&gt;=0.6,"Managed",IF(C6&gt;=0.4,"Developing",IF(C6&gt;=0.2,"Initial","Absent")))))</f>
        <v/>
      </c>
    </row>
    <row r="8">
      <c r="B8" s="5" t="inlineStr">
        <is>
          <t>Assessment coverage</t>
        </is>
      </c>
      <c r="C8" s="9">
        <f>IF(D33=0,"",E33/D33)</f>
        <v/>
      </c>
    </row>
    <row r="9">
      <c r="B9" s="5" t="inlineStr">
        <is>
          <t>Controls in scope / assessed</t>
        </is>
      </c>
      <c r="C9" s="8">
        <f>D33&amp;" / "&amp;E33</f>
        <v/>
      </c>
    </row>
    <row r="10">
      <c r="B10" s="5" t="inlineStr">
        <is>
          <t>Total gaps identified</t>
        </is>
      </c>
      <c r="C10" s="8">
        <f>F33</f>
        <v/>
      </c>
    </row>
    <row r="11">
      <c r="B11" s="5" t="inlineStr">
        <is>
          <t>Critical-severity gaps</t>
        </is>
      </c>
      <c r="C11" s="10">
        <f>COUNTIFS('Control Matrix'!$R$2:$R$91,1,'Control Matrix'!$E$2:$E$91,"Critical")</f>
        <v/>
      </c>
    </row>
    <row r="14">
      <c r="B14" s="3" t="inlineStr">
        <is>
          <t>MATURITY BY DOMAIN</t>
        </is>
      </c>
      <c r="C14" s="4" t="n"/>
      <c r="D14" s="4" t="n"/>
      <c r="E14" s="4" t="n"/>
      <c r="F14" s="4" t="n"/>
      <c r="G14" s="4" t="n"/>
      <c r="H14" s="4" t="n"/>
      <c r="I14" s="4" t="n"/>
    </row>
    <row r="15">
      <c r="B15" s="11" t="inlineStr">
        <is>
          <t>Domain</t>
        </is>
      </c>
      <c r="C15" s="11" t="inlineStr">
        <is>
          <t>Weight</t>
        </is>
      </c>
      <c r="D15" s="11" t="inlineStr">
        <is>
          <t>In scope</t>
        </is>
      </c>
      <c r="E15" s="11" t="inlineStr">
        <is>
          <t>Assessed</t>
        </is>
      </c>
      <c r="F15" s="11" t="inlineStr">
        <is>
          <t>Gaps</t>
        </is>
      </c>
      <c r="G15" s="11" t="inlineStr">
        <is>
          <t>Maturity</t>
        </is>
      </c>
      <c r="H15" s="11" t="inlineStr">
        <is>
          <t>Wtd num.</t>
        </is>
      </c>
      <c r="I15" s="11" t="inlineStr">
        <is>
          <t>Wtd den.</t>
        </is>
      </c>
      <c r="J15" s="11" t="inlineStr">
        <is>
          <t>Band</t>
        </is>
      </c>
    </row>
    <row r="16">
      <c r="B16" s="12" t="inlineStr">
        <is>
          <t>APP — Applicability &amp; Role Determination</t>
        </is>
      </c>
      <c r="C16" s="12" t="n">
        <v>1</v>
      </c>
      <c r="D16" s="13">
        <f>COUNTIFS('Control Matrix'!$B$2:$B$91,"APP",'Control Matrix'!$H$2:$H$91,"Yes")</f>
        <v/>
      </c>
      <c r="E16" s="13">
        <f>COUNTIFS('Control Matrix'!$B$2:$B$91,"APP",'Control Matrix'!$N$2:$N$91,1)</f>
        <v/>
      </c>
      <c r="F16" s="13">
        <f>COUNTIFS('Control Matrix'!$B$2:$B$91,"APP",'Control Matrix'!$R$2:$R$91,1)</f>
        <v/>
      </c>
      <c r="G16" s="14">
        <f>IF(SUMIFS('Control Matrix'!$T$2:$T$91,'Control Matrix'!$B$2:$B$91,"APP")=0,"",SUMIFS('Control Matrix'!$S$2:$S$91,'Control Matrix'!$B$2:$B$91,"APP")/SUMIFS('Control Matrix'!$T$2:$T$91,'Control Matrix'!$B$2:$B$91,"APP"))</f>
        <v/>
      </c>
      <c r="H16" s="12">
        <f>IF(G16="","",G16*C16)</f>
        <v/>
      </c>
      <c r="I16" s="12">
        <f>IF(G16="","",C16)</f>
        <v/>
      </c>
      <c r="J16" s="12">
        <f>IF(G16="","Not assessed",IF(G16&gt;=0.8,"Optimised",IF(G16&gt;=0.6,"Managed",IF(G16&gt;=0.4,"Developing",IF(G16&gt;=0.2,"Initial","Absent")))))</f>
        <v/>
      </c>
    </row>
    <row r="17">
      <c r="B17" s="12" t="inlineStr">
        <is>
          <t>GOV — Governance, Accountability &amp; Records</t>
        </is>
      </c>
      <c r="C17" s="12" t="n">
        <v>1.2</v>
      </c>
      <c r="D17" s="13">
        <f>COUNTIFS('Control Matrix'!$B$2:$B$91,"GOV",'Control Matrix'!$H$2:$H$91,"Yes")</f>
        <v/>
      </c>
      <c r="E17" s="13">
        <f>COUNTIFS('Control Matrix'!$B$2:$B$91,"GOV",'Control Matrix'!$N$2:$N$91,1)</f>
        <v/>
      </c>
      <c r="F17" s="13">
        <f>COUNTIFS('Control Matrix'!$B$2:$B$91,"GOV",'Control Matrix'!$R$2:$R$91,1)</f>
        <v/>
      </c>
      <c r="G17" s="14">
        <f>IF(SUMIFS('Control Matrix'!$T$2:$T$91,'Control Matrix'!$B$2:$B$91,"GOV")=0,"",SUMIFS('Control Matrix'!$S$2:$S$91,'Control Matrix'!$B$2:$B$91,"GOV")/SUMIFS('Control Matrix'!$T$2:$T$91,'Control Matrix'!$B$2:$B$91,"GOV"))</f>
        <v/>
      </c>
      <c r="H17" s="12">
        <f>IF(G17="","",G17*C17)</f>
        <v/>
      </c>
      <c r="I17" s="12">
        <f>IF(G17="","",C17)</f>
        <v/>
      </c>
      <c r="J17" s="12">
        <f>IF(G17="","Not assessed",IF(G17&gt;=0.8,"Optimised",IF(G17&gt;=0.6,"Managed",IF(G17&gt;=0.4,"Developing",IF(G17&gt;=0.2,"Initial","Absent")))))</f>
        <v/>
      </c>
    </row>
    <row r="18">
      <c r="B18" s="12" t="inlineStr">
        <is>
          <t>PUR — Lawful Purpose, Minimisation &amp; Accuracy</t>
        </is>
      </c>
      <c r="C18" s="12" t="n">
        <v>1</v>
      </c>
      <c r="D18" s="13">
        <f>COUNTIFS('Control Matrix'!$B$2:$B$91,"PUR",'Control Matrix'!$H$2:$H$91,"Yes")</f>
        <v/>
      </c>
      <c r="E18" s="13">
        <f>COUNTIFS('Control Matrix'!$B$2:$B$91,"PUR",'Control Matrix'!$N$2:$N$91,1)</f>
        <v/>
      </c>
      <c r="F18" s="13">
        <f>COUNTIFS('Control Matrix'!$B$2:$B$91,"PUR",'Control Matrix'!$R$2:$R$91,1)</f>
        <v/>
      </c>
      <c r="G18" s="14">
        <f>IF(SUMIFS('Control Matrix'!$T$2:$T$91,'Control Matrix'!$B$2:$B$91,"PUR")=0,"",SUMIFS('Control Matrix'!$S$2:$S$91,'Control Matrix'!$B$2:$B$91,"PUR")/SUMIFS('Control Matrix'!$T$2:$T$91,'Control Matrix'!$B$2:$B$91,"PUR"))</f>
        <v/>
      </c>
      <c r="H18" s="12">
        <f>IF(G18="","",G18*C18)</f>
        <v/>
      </c>
      <c r="I18" s="12">
        <f>IF(G18="","",C18)</f>
        <v/>
      </c>
      <c r="J18" s="12">
        <f>IF(G18="","Not assessed",IF(G18&gt;=0.8,"Optimised",IF(G18&gt;=0.6,"Managed",IF(G18&gt;=0.4,"Developing",IF(G18&gt;=0.2,"Initial","Absent")))))</f>
        <v/>
      </c>
    </row>
    <row r="19">
      <c r="B19" s="12" t="inlineStr">
        <is>
          <t>NOT — Notice</t>
        </is>
      </c>
      <c r="C19" s="12" t="n">
        <v>1.1</v>
      </c>
      <c r="D19" s="13">
        <f>COUNTIFS('Control Matrix'!$B$2:$B$91,"NOT",'Control Matrix'!$H$2:$H$91,"Yes")</f>
        <v/>
      </c>
      <c r="E19" s="13">
        <f>COUNTIFS('Control Matrix'!$B$2:$B$91,"NOT",'Control Matrix'!$N$2:$N$91,1)</f>
        <v/>
      </c>
      <c r="F19" s="13">
        <f>COUNTIFS('Control Matrix'!$B$2:$B$91,"NOT",'Control Matrix'!$R$2:$R$91,1)</f>
        <v/>
      </c>
      <c r="G19" s="14">
        <f>IF(SUMIFS('Control Matrix'!$T$2:$T$91,'Control Matrix'!$B$2:$B$91,"NOT")=0,"",SUMIFS('Control Matrix'!$S$2:$S$91,'Control Matrix'!$B$2:$B$91,"NOT")/SUMIFS('Control Matrix'!$T$2:$T$91,'Control Matrix'!$B$2:$B$91,"NOT"))</f>
        <v/>
      </c>
      <c r="H19" s="12">
        <f>IF(G19="","",G19*C19)</f>
        <v/>
      </c>
      <c r="I19" s="12">
        <f>IF(G19="","",C19)</f>
        <v/>
      </c>
      <c r="J19" s="12">
        <f>IF(G19="","Not assessed",IF(G19&gt;=0.8,"Optimised",IF(G19&gt;=0.6,"Managed",IF(G19&gt;=0.4,"Developing",IF(G19&gt;=0.2,"Initial","Absent")))))</f>
        <v/>
      </c>
    </row>
    <row r="20">
      <c r="B20" s="12" t="inlineStr">
        <is>
          <t>CON — Consent</t>
        </is>
      </c>
      <c r="C20" s="12" t="n">
        <v>1.3</v>
      </c>
      <c r="D20" s="13">
        <f>COUNTIFS('Control Matrix'!$B$2:$B$91,"CON",'Control Matrix'!$H$2:$H$91,"Yes")</f>
        <v/>
      </c>
      <c r="E20" s="13">
        <f>COUNTIFS('Control Matrix'!$B$2:$B$91,"CON",'Control Matrix'!$N$2:$N$91,1)</f>
        <v/>
      </c>
      <c r="F20" s="13">
        <f>COUNTIFS('Control Matrix'!$B$2:$B$91,"CON",'Control Matrix'!$R$2:$R$91,1)</f>
        <v/>
      </c>
      <c r="G20" s="14">
        <f>IF(SUMIFS('Control Matrix'!$T$2:$T$91,'Control Matrix'!$B$2:$B$91,"CON")=0,"",SUMIFS('Control Matrix'!$S$2:$S$91,'Control Matrix'!$B$2:$B$91,"CON")/SUMIFS('Control Matrix'!$T$2:$T$91,'Control Matrix'!$B$2:$B$91,"CON"))</f>
        <v/>
      </c>
      <c r="H20" s="12">
        <f>IF(G20="","",G20*C20)</f>
        <v/>
      </c>
      <c r="I20" s="12">
        <f>IF(G20="","",C20)</f>
        <v/>
      </c>
      <c r="J20" s="12">
        <f>IF(G20="","Not assessed",IF(G20&gt;=0.8,"Optimised",IF(G20&gt;=0.6,"Managed",IF(G20&gt;=0.4,"Developing",IF(G20&gt;=0.2,"Initial","Absent")))))</f>
        <v/>
      </c>
    </row>
    <row r="21">
      <c r="B21" s="12" t="inlineStr">
        <is>
          <t>CMG — Consent Manager</t>
        </is>
      </c>
      <c r="C21" s="12" t="n">
        <v>0.8</v>
      </c>
      <c r="D21" s="13">
        <f>COUNTIFS('Control Matrix'!$B$2:$B$91,"CMG",'Control Matrix'!$H$2:$H$91,"Yes")</f>
        <v/>
      </c>
      <c r="E21" s="13">
        <f>COUNTIFS('Control Matrix'!$B$2:$B$91,"CMG",'Control Matrix'!$N$2:$N$91,1)</f>
        <v/>
      </c>
      <c r="F21" s="13">
        <f>COUNTIFS('Control Matrix'!$B$2:$B$91,"CMG",'Control Matrix'!$R$2:$R$91,1)</f>
        <v/>
      </c>
      <c r="G21" s="14">
        <f>IF(SUMIFS('Control Matrix'!$T$2:$T$91,'Control Matrix'!$B$2:$B$91,"CMG")=0,"",SUMIFS('Control Matrix'!$S$2:$S$91,'Control Matrix'!$B$2:$B$91,"CMG")/SUMIFS('Control Matrix'!$T$2:$T$91,'Control Matrix'!$B$2:$B$91,"CMG"))</f>
        <v/>
      </c>
      <c r="H21" s="12">
        <f>IF(G21="","",G21*C21)</f>
        <v/>
      </c>
      <c r="I21" s="12">
        <f>IF(G21="","",C21)</f>
        <v/>
      </c>
      <c r="J21" s="12">
        <f>IF(G21="","Not assessed",IF(G21&gt;=0.8,"Optimised",IF(G21&gt;=0.6,"Managed",IF(G21&gt;=0.4,"Developing",IF(G21&gt;=0.2,"Initial","Absent")))))</f>
        <v/>
      </c>
    </row>
    <row r="22">
      <c r="B22" s="12" t="inlineStr">
        <is>
          <t>LGU — Legitimate Uses</t>
        </is>
      </c>
      <c r="C22" s="12" t="n">
        <v>0.9</v>
      </c>
      <c r="D22" s="13">
        <f>COUNTIFS('Control Matrix'!$B$2:$B$91,"LGU",'Control Matrix'!$H$2:$H$91,"Yes")</f>
        <v/>
      </c>
      <c r="E22" s="13">
        <f>COUNTIFS('Control Matrix'!$B$2:$B$91,"LGU",'Control Matrix'!$N$2:$N$91,1)</f>
        <v/>
      </c>
      <c r="F22" s="13">
        <f>COUNTIFS('Control Matrix'!$B$2:$B$91,"LGU",'Control Matrix'!$R$2:$R$91,1)</f>
        <v/>
      </c>
      <c r="G22" s="14">
        <f>IF(SUMIFS('Control Matrix'!$T$2:$T$91,'Control Matrix'!$B$2:$B$91,"LGU")=0,"",SUMIFS('Control Matrix'!$S$2:$S$91,'Control Matrix'!$B$2:$B$91,"LGU")/SUMIFS('Control Matrix'!$T$2:$T$91,'Control Matrix'!$B$2:$B$91,"LGU"))</f>
        <v/>
      </c>
      <c r="H22" s="12">
        <f>IF(G22="","",G22*C22)</f>
        <v/>
      </c>
      <c r="I22" s="12">
        <f>IF(G22="","",C22)</f>
        <v/>
      </c>
      <c r="J22" s="12">
        <f>IF(G22="","Not assessed",IF(G22&gt;=0.8,"Optimised",IF(G22&gt;=0.6,"Managed",IF(G22&gt;=0.4,"Developing",IF(G22&gt;=0.2,"Initial","Absent")))))</f>
        <v/>
      </c>
    </row>
    <row r="23">
      <c r="B23" s="12" t="inlineStr">
        <is>
          <t>RET — Retention &amp; Erasure</t>
        </is>
      </c>
      <c r="C23" s="12" t="n">
        <v>1.1</v>
      </c>
      <c r="D23" s="13">
        <f>COUNTIFS('Control Matrix'!$B$2:$B$91,"RET",'Control Matrix'!$H$2:$H$91,"Yes")</f>
        <v/>
      </c>
      <c r="E23" s="13">
        <f>COUNTIFS('Control Matrix'!$B$2:$B$91,"RET",'Control Matrix'!$N$2:$N$91,1)</f>
        <v/>
      </c>
      <c r="F23" s="13">
        <f>COUNTIFS('Control Matrix'!$B$2:$B$91,"RET",'Control Matrix'!$R$2:$R$91,1)</f>
        <v/>
      </c>
      <c r="G23" s="14">
        <f>IF(SUMIFS('Control Matrix'!$T$2:$T$91,'Control Matrix'!$B$2:$B$91,"RET")=0,"",SUMIFS('Control Matrix'!$S$2:$S$91,'Control Matrix'!$B$2:$B$91,"RET")/SUMIFS('Control Matrix'!$T$2:$T$91,'Control Matrix'!$B$2:$B$91,"RET"))</f>
        <v/>
      </c>
      <c r="H23" s="12">
        <f>IF(G23="","",G23*C23)</f>
        <v/>
      </c>
      <c r="I23" s="12">
        <f>IF(G23="","",C23)</f>
        <v/>
      </c>
      <c r="J23" s="12">
        <f>IF(G23="","Not assessed",IF(G23&gt;=0.8,"Optimised",IF(G23&gt;=0.6,"Managed",IF(G23&gt;=0.4,"Developing",IF(G23&gt;=0.2,"Initial","Absent")))))</f>
        <v/>
      </c>
    </row>
    <row r="24">
      <c r="B24" s="12" t="inlineStr">
        <is>
          <t>RGT — Data Principal Rights</t>
        </is>
      </c>
      <c r="C24" s="12" t="n">
        <v>1.1</v>
      </c>
      <c r="D24" s="13">
        <f>COUNTIFS('Control Matrix'!$B$2:$B$91,"RGT",'Control Matrix'!$H$2:$H$91,"Yes")</f>
        <v/>
      </c>
      <c r="E24" s="13">
        <f>COUNTIFS('Control Matrix'!$B$2:$B$91,"RGT",'Control Matrix'!$N$2:$N$91,1)</f>
        <v/>
      </c>
      <c r="F24" s="13">
        <f>COUNTIFS('Control Matrix'!$B$2:$B$91,"RGT",'Control Matrix'!$R$2:$R$91,1)</f>
        <v/>
      </c>
      <c r="G24" s="14">
        <f>IF(SUMIFS('Control Matrix'!$T$2:$T$91,'Control Matrix'!$B$2:$B$91,"RGT")=0,"",SUMIFS('Control Matrix'!$S$2:$S$91,'Control Matrix'!$B$2:$B$91,"RGT")/SUMIFS('Control Matrix'!$T$2:$T$91,'Control Matrix'!$B$2:$B$91,"RGT"))</f>
        <v/>
      </c>
      <c r="H24" s="12">
        <f>IF(G24="","",G24*C24)</f>
        <v/>
      </c>
      <c r="I24" s="12">
        <f>IF(G24="","",C24)</f>
        <v/>
      </c>
      <c r="J24" s="12">
        <f>IF(G24="","Not assessed",IF(G24&gt;=0.8,"Optimised",IF(G24&gt;=0.6,"Managed",IF(G24&gt;=0.4,"Developing",IF(G24&gt;=0.2,"Initial","Absent")))))</f>
        <v/>
      </c>
    </row>
    <row r="25">
      <c r="B25" s="12" t="inlineStr">
        <is>
          <t>GRV — Grievance Redressal</t>
        </is>
      </c>
      <c r="C25" s="12" t="n">
        <v>1</v>
      </c>
      <c r="D25" s="13">
        <f>COUNTIFS('Control Matrix'!$B$2:$B$91,"GRV",'Control Matrix'!$H$2:$H$91,"Yes")</f>
        <v/>
      </c>
      <c r="E25" s="13">
        <f>COUNTIFS('Control Matrix'!$B$2:$B$91,"GRV",'Control Matrix'!$N$2:$N$91,1)</f>
        <v/>
      </c>
      <c r="F25" s="13">
        <f>COUNTIFS('Control Matrix'!$B$2:$B$91,"GRV",'Control Matrix'!$R$2:$R$91,1)</f>
        <v/>
      </c>
      <c r="G25" s="14">
        <f>IF(SUMIFS('Control Matrix'!$T$2:$T$91,'Control Matrix'!$B$2:$B$91,"GRV")=0,"",SUMIFS('Control Matrix'!$S$2:$S$91,'Control Matrix'!$B$2:$B$91,"GRV")/SUMIFS('Control Matrix'!$T$2:$T$91,'Control Matrix'!$B$2:$B$91,"GRV"))</f>
        <v/>
      </c>
      <c r="H25" s="12">
        <f>IF(G25="","",G25*C25)</f>
        <v/>
      </c>
      <c r="I25" s="12">
        <f>IF(G25="","",C25)</f>
        <v/>
      </c>
      <c r="J25" s="12">
        <f>IF(G25="","Not assessed",IF(G25&gt;=0.8,"Optimised",IF(G25&gt;=0.6,"Managed",IF(G25&gt;=0.4,"Developing",IF(G25&gt;=0.2,"Initial","Absent")))))</f>
        <v/>
      </c>
    </row>
    <row r="26">
      <c r="B26" s="12" t="inlineStr">
        <is>
          <t>SEC — Security Safeguards</t>
        </is>
      </c>
      <c r="C26" s="12" t="n">
        <v>1.4</v>
      </c>
      <c r="D26" s="13">
        <f>COUNTIFS('Control Matrix'!$B$2:$B$91,"SEC",'Control Matrix'!$H$2:$H$91,"Yes")</f>
        <v/>
      </c>
      <c r="E26" s="13">
        <f>COUNTIFS('Control Matrix'!$B$2:$B$91,"SEC",'Control Matrix'!$N$2:$N$91,1)</f>
        <v/>
      </c>
      <c r="F26" s="13">
        <f>COUNTIFS('Control Matrix'!$B$2:$B$91,"SEC",'Control Matrix'!$R$2:$R$91,1)</f>
        <v/>
      </c>
      <c r="G26" s="14">
        <f>IF(SUMIFS('Control Matrix'!$T$2:$T$91,'Control Matrix'!$B$2:$B$91,"SEC")=0,"",SUMIFS('Control Matrix'!$S$2:$S$91,'Control Matrix'!$B$2:$B$91,"SEC")/SUMIFS('Control Matrix'!$T$2:$T$91,'Control Matrix'!$B$2:$B$91,"SEC"))</f>
        <v/>
      </c>
      <c r="H26" s="12">
        <f>IF(G26="","",G26*C26)</f>
        <v/>
      </c>
      <c r="I26" s="12">
        <f>IF(G26="","",C26)</f>
        <v/>
      </c>
      <c r="J26" s="12">
        <f>IF(G26="","Not assessed",IF(G26&gt;=0.8,"Optimised",IF(G26&gt;=0.6,"Managed",IF(G26&gt;=0.4,"Developing",IF(G26&gt;=0.2,"Initial","Absent")))))</f>
        <v/>
      </c>
    </row>
    <row r="27">
      <c r="B27" s="12" t="inlineStr">
        <is>
          <t>BRC — Personal Data Breach Notification</t>
        </is>
      </c>
      <c r="C27" s="12" t="n">
        <v>1.3</v>
      </c>
      <c r="D27" s="13">
        <f>COUNTIFS('Control Matrix'!$B$2:$B$91,"BRC",'Control Matrix'!$H$2:$H$91,"Yes")</f>
        <v/>
      </c>
      <c r="E27" s="13">
        <f>COUNTIFS('Control Matrix'!$B$2:$B$91,"BRC",'Control Matrix'!$N$2:$N$91,1)</f>
        <v/>
      </c>
      <c r="F27" s="13">
        <f>COUNTIFS('Control Matrix'!$B$2:$B$91,"BRC",'Control Matrix'!$R$2:$R$91,1)</f>
        <v/>
      </c>
      <c r="G27" s="14">
        <f>IF(SUMIFS('Control Matrix'!$T$2:$T$91,'Control Matrix'!$B$2:$B$91,"BRC")=0,"",SUMIFS('Control Matrix'!$S$2:$S$91,'Control Matrix'!$B$2:$B$91,"BRC")/SUMIFS('Control Matrix'!$T$2:$T$91,'Control Matrix'!$B$2:$B$91,"BRC"))</f>
        <v/>
      </c>
      <c r="H27" s="12">
        <f>IF(G27="","",G27*C27)</f>
        <v/>
      </c>
      <c r="I27" s="12">
        <f>IF(G27="","",C27)</f>
        <v/>
      </c>
      <c r="J27" s="12">
        <f>IF(G27="","Not assessed",IF(G27&gt;=0.8,"Optimised",IF(G27&gt;=0.6,"Managed",IF(G27&gt;=0.4,"Developing",IF(G27&gt;=0.2,"Initial","Absent")))))</f>
        <v/>
      </c>
    </row>
    <row r="28">
      <c r="B28" s="12" t="inlineStr">
        <is>
          <t>CHD — Children &amp; Persons with Disability</t>
        </is>
      </c>
      <c r="C28" s="12" t="n">
        <v>1.2</v>
      </c>
      <c r="D28" s="13">
        <f>COUNTIFS('Control Matrix'!$B$2:$B$91,"CHD",'Control Matrix'!$H$2:$H$91,"Yes")</f>
        <v/>
      </c>
      <c r="E28" s="13">
        <f>COUNTIFS('Control Matrix'!$B$2:$B$91,"CHD",'Control Matrix'!$N$2:$N$91,1)</f>
        <v/>
      </c>
      <c r="F28" s="13">
        <f>COUNTIFS('Control Matrix'!$B$2:$B$91,"CHD",'Control Matrix'!$R$2:$R$91,1)</f>
        <v/>
      </c>
      <c r="G28" s="14">
        <f>IF(SUMIFS('Control Matrix'!$T$2:$T$91,'Control Matrix'!$B$2:$B$91,"CHD")=0,"",SUMIFS('Control Matrix'!$S$2:$S$91,'Control Matrix'!$B$2:$B$91,"CHD")/SUMIFS('Control Matrix'!$T$2:$T$91,'Control Matrix'!$B$2:$B$91,"CHD"))</f>
        <v/>
      </c>
      <c r="H28" s="12">
        <f>IF(G28="","",G28*C28)</f>
        <v/>
      </c>
      <c r="I28" s="12">
        <f>IF(G28="","",C28)</f>
        <v/>
      </c>
      <c r="J28" s="12">
        <f>IF(G28="","Not assessed",IF(G28&gt;=0.8,"Optimised",IF(G28&gt;=0.6,"Managed",IF(G28&gt;=0.4,"Developing",IF(G28&gt;=0.2,"Initial","Absent")))))</f>
        <v/>
      </c>
    </row>
    <row r="29">
      <c r="B29" s="12" t="inlineStr">
        <is>
          <t>PRO — Processors &amp; Vendor Contracts</t>
        </is>
      </c>
      <c r="C29" s="12" t="n">
        <v>1.1</v>
      </c>
      <c r="D29" s="13">
        <f>COUNTIFS('Control Matrix'!$B$2:$B$91,"PRO",'Control Matrix'!$H$2:$H$91,"Yes")</f>
        <v/>
      </c>
      <c r="E29" s="13">
        <f>COUNTIFS('Control Matrix'!$B$2:$B$91,"PRO",'Control Matrix'!$N$2:$N$91,1)</f>
        <v/>
      </c>
      <c r="F29" s="13">
        <f>COUNTIFS('Control Matrix'!$B$2:$B$91,"PRO",'Control Matrix'!$R$2:$R$91,1)</f>
        <v/>
      </c>
      <c r="G29" s="14">
        <f>IF(SUMIFS('Control Matrix'!$T$2:$T$91,'Control Matrix'!$B$2:$B$91,"PRO")=0,"",SUMIFS('Control Matrix'!$S$2:$S$91,'Control Matrix'!$B$2:$B$91,"PRO")/SUMIFS('Control Matrix'!$T$2:$T$91,'Control Matrix'!$B$2:$B$91,"PRO"))</f>
        <v/>
      </c>
      <c r="H29" s="12">
        <f>IF(G29="","",G29*C29)</f>
        <v/>
      </c>
      <c r="I29" s="12">
        <f>IF(G29="","",C29)</f>
        <v/>
      </c>
      <c r="J29" s="12">
        <f>IF(G29="","Not assessed",IF(G29&gt;=0.8,"Optimised",IF(G29&gt;=0.6,"Managed",IF(G29&gt;=0.4,"Developing",IF(G29&gt;=0.2,"Initial","Absent")))))</f>
        <v/>
      </c>
    </row>
    <row r="30">
      <c r="B30" s="12" t="inlineStr">
        <is>
          <t>XBD — Cross-Border Transfers</t>
        </is>
      </c>
      <c r="C30" s="12" t="n">
        <v>0.9</v>
      </c>
      <c r="D30" s="13">
        <f>COUNTIFS('Control Matrix'!$B$2:$B$91,"XBD",'Control Matrix'!$H$2:$H$91,"Yes")</f>
        <v/>
      </c>
      <c r="E30" s="13">
        <f>COUNTIFS('Control Matrix'!$B$2:$B$91,"XBD",'Control Matrix'!$N$2:$N$91,1)</f>
        <v/>
      </c>
      <c r="F30" s="13">
        <f>COUNTIFS('Control Matrix'!$B$2:$B$91,"XBD",'Control Matrix'!$R$2:$R$91,1)</f>
        <v/>
      </c>
      <c r="G30" s="14">
        <f>IF(SUMIFS('Control Matrix'!$T$2:$T$91,'Control Matrix'!$B$2:$B$91,"XBD")=0,"",SUMIFS('Control Matrix'!$S$2:$S$91,'Control Matrix'!$B$2:$B$91,"XBD")/SUMIFS('Control Matrix'!$T$2:$T$91,'Control Matrix'!$B$2:$B$91,"XBD"))</f>
        <v/>
      </c>
      <c r="H30" s="12">
        <f>IF(G30="","",G30*C30)</f>
        <v/>
      </c>
      <c r="I30" s="12">
        <f>IF(G30="","",C30)</f>
        <v/>
      </c>
      <c r="J30" s="12">
        <f>IF(G30="","Not assessed",IF(G30&gt;=0.8,"Optimised",IF(G30&gt;=0.6,"Managed",IF(G30&gt;=0.4,"Developing",IF(G30&gt;=0.2,"Initial","Absent")))))</f>
        <v/>
      </c>
    </row>
    <row r="31">
      <c r="B31" s="12" t="inlineStr">
        <is>
          <t>SDF — Significant Data Fiduciary Obligations</t>
        </is>
      </c>
      <c r="C31" s="12" t="n">
        <v>1.2</v>
      </c>
      <c r="D31" s="13">
        <f>COUNTIFS('Control Matrix'!$B$2:$B$91,"SDF",'Control Matrix'!$H$2:$H$91,"Yes")</f>
        <v/>
      </c>
      <c r="E31" s="13">
        <f>COUNTIFS('Control Matrix'!$B$2:$B$91,"SDF",'Control Matrix'!$N$2:$N$91,1)</f>
        <v/>
      </c>
      <c r="F31" s="13">
        <f>COUNTIFS('Control Matrix'!$B$2:$B$91,"SDF",'Control Matrix'!$R$2:$R$91,1)</f>
        <v/>
      </c>
      <c r="G31" s="14">
        <f>IF(SUMIFS('Control Matrix'!$T$2:$T$91,'Control Matrix'!$B$2:$B$91,"SDF")=0,"",SUMIFS('Control Matrix'!$S$2:$S$91,'Control Matrix'!$B$2:$B$91,"SDF")/SUMIFS('Control Matrix'!$T$2:$T$91,'Control Matrix'!$B$2:$B$91,"SDF"))</f>
        <v/>
      </c>
      <c r="H31" s="12">
        <f>IF(G31="","",G31*C31)</f>
        <v/>
      </c>
      <c r="I31" s="12">
        <f>IF(G31="","",C31)</f>
        <v/>
      </c>
      <c r="J31" s="12">
        <f>IF(G31="","Not assessed",IF(G31&gt;=0.8,"Optimised",IF(G31&gt;=0.6,"Managed",IF(G31&gt;=0.4,"Developing",IF(G31&gt;=0.2,"Initial","Absent")))))</f>
        <v/>
      </c>
    </row>
    <row r="32">
      <c r="B32" s="12" t="inlineStr">
        <is>
          <t>BRD — Enforcement Readiness &amp; Board Engagement</t>
        </is>
      </c>
      <c r="C32" s="12" t="n">
        <v>0.7</v>
      </c>
      <c r="D32" s="13">
        <f>COUNTIFS('Control Matrix'!$B$2:$B$91,"BRD",'Control Matrix'!$H$2:$H$91,"Yes")</f>
        <v/>
      </c>
      <c r="E32" s="13">
        <f>COUNTIFS('Control Matrix'!$B$2:$B$91,"BRD",'Control Matrix'!$N$2:$N$91,1)</f>
        <v/>
      </c>
      <c r="F32" s="13">
        <f>COUNTIFS('Control Matrix'!$B$2:$B$91,"BRD",'Control Matrix'!$R$2:$R$91,1)</f>
        <v/>
      </c>
      <c r="G32" s="14">
        <f>IF(SUMIFS('Control Matrix'!$T$2:$T$91,'Control Matrix'!$B$2:$B$91,"BRD")=0,"",SUMIFS('Control Matrix'!$S$2:$S$91,'Control Matrix'!$B$2:$B$91,"BRD")/SUMIFS('Control Matrix'!$T$2:$T$91,'Control Matrix'!$B$2:$B$91,"BRD"))</f>
        <v/>
      </c>
      <c r="H32" s="12">
        <f>IF(G32="","",G32*C32)</f>
        <v/>
      </c>
      <c r="I32" s="12">
        <f>IF(G32="","",C32)</f>
        <v/>
      </c>
      <c r="J32" s="12">
        <f>IF(G32="","Not assessed",IF(G32&gt;=0.8,"Optimised",IF(G32&gt;=0.6,"Managed",IF(G32&gt;=0.4,"Developing",IF(G32&gt;=0.2,"Initial","Absent")))))</f>
        <v/>
      </c>
    </row>
    <row r="33">
      <c r="B33" s="15" t="inlineStr">
        <is>
          <t>TOTAL / WEIGHTED</t>
        </is>
      </c>
      <c r="C33" s="16" t="n"/>
      <c r="D33" s="17">
        <f>SUM(D16:D32)</f>
        <v/>
      </c>
      <c r="E33" s="17">
        <f>SUM(E16:E32)</f>
        <v/>
      </c>
      <c r="F33" s="17">
        <f>SUM(F16:F32)</f>
        <v/>
      </c>
      <c r="G33" s="18">
        <f>IF(SUM(I16:I32)=0,"",SUM(H16:H32)/SUM(I16:I32))</f>
        <v/>
      </c>
      <c r="H33" s="16" t="n"/>
      <c r="I33" s="16" t="n"/>
      <c r="J33" s="16" t="n"/>
    </row>
    <row r="36">
      <c r="B36" s="3" t="inlineStr">
        <is>
          <t>STATUS SUMMARY</t>
        </is>
      </c>
      <c r="C36" s="4" t="n"/>
      <c r="D36" s="4" t="n"/>
      <c r="E36" s="4" t="n"/>
      <c r="F36" s="4" t="n"/>
      <c r="G36" s="4" t="n"/>
      <c r="H36" s="4" t="n"/>
      <c r="I36" s="4" t="n"/>
    </row>
    <row r="37">
      <c r="B37" s="19" t="inlineStr">
        <is>
          <t>Compliant</t>
        </is>
      </c>
      <c r="C37" s="8">
        <f>COUNTIFS('Control Matrix'!$O$2:$O$91,"Compliant")</f>
        <v/>
      </c>
    </row>
    <row r="38">
      <c r="B38" s="19" t="inlineStr">
        <is>
          <t>Substantially compliant</t>
        </is>
      </c>
      <c r="C38" s="8">
        <f>COUNTIFS('Control Matrix'!$O$2:$O$91,"Substantially compliant")</f>
        <v/>
      </c>
    </row>
    <row r="39">
      <c r="B39" s="19" t="inlineStr">
        <is>
          <t>Partially compliant</t>
        </is>
      </c>
      <c r="C39" s="8">
        <f>COUNTIFS('Control Matrix'!$O$2:$O$91,"Partially compliant")</f>
        <v/>
      </c>
    </row>
    <row r="40">
      <c r="B40" s="19" t="inlineStr">
        <is>
          <t>Non-compliant</t>
        </is>
      </c>
      <c r="C40" s="8">
        <f>COUNTIFS('Control Matrix'!$O$2:$O$91,"Non-compliant")</f>
        <v/>
      </c>
    </row>
    <row r="41">
      <c r="B41" s="19" t="inlineStr">
        <is>
          <t>Not assessed</t>
        </is>
      </c>
      <c r="C41" s="8">
        <f>COUNTIFS('Control Matrix'!$O$2:$O$91,"Not assessed")</f>
        <v/>
      </c>
    </row>
    <row r="42">
      <c r="B42" s="19" t="inlineStr">
        <is>
          <t>Not applicable</t>
        </is>
      </c>
      <c r="C42" s="8">
        <f>COUNTIFS('Control Matrix'!$O$2:$O$91,"Not applicable")</f>
        <v/>
      </c>
    </row>
    <row r="43">
      <c r="B43" s="19" t="inlineStr">
        <is>
          <t>Out of scope</t>
        </is>
      </c>
      <c r="C43" s="8">
        <f>COUNTIFS('Control Matrix'!$O$2:$O$91,"Out of scope")</f>
        <v/>
      </c>
    </row>
    <row r="45">
      <c r="B45" s="3" t="inlineStr">
        <is>
          <t>GAPS BY SEVERITY</t>
        </is>
      </c>
      <c r="C45" s="4" t="n"/>
      <c r="D45" s="4" t="n"/>
      <c r="E45" s="4" t="n"/>
      <c r="F45" s="4" t="n"/>
      <c r="G45" s="4" t="n"/>
      <c r="H45" s="4" t="n"/>
      <c r="I45" s="4" t="n"/>
    </row>
    <row r="46">
      <c r="B46" s="19" t="inlineStr">
        <is>
          <t>Critical</t>
        </is>
      </c>
      <c r="C46" s="20">
        <f>COUNTIFS('Control Matrix'!$R$2:$R$91,1,'Control Matrix'!$E$2:$E$91,"Critical")</f>
        <v/>
      </c>
    </row>
    <row r="47">
      <c r="B47" s="19" t="inlineStr">
        <is>
          <t>High</t>
        </is>
      </c>
      <c r="C47" s="21">
        <f>COUNTIFS('Control Matrix'!$R$2:$R$91,1,'Control Matrix'!$E$2:$E$91,"High")</f>
        <v/>
      </c>
    </row>
    <row r="48">
      <c r="B48" s="19" t="inlineStr">
        <is>
          <t>Medium</t>
        </is>
      </c>
      <c r="C48" s="22">
        <f>COUNTIFS('Control Matrix'!$R$2:$R$91,1,'Control Matrix'!$E$2:$E$91,"Medium")</f>
        <v/>
      </c>
    </row>
    <row r="49">
      <c r="B49" s="19" t="inlineStr">
        <is>
          <t>Low</t>
        </is>
      </c>
      <c r="C49" s="23">
        <f>COUNTIFS('Control Matrix'!$R$2:$R$91,1,'Control Matrix'!$E$2:$E$91,"Low")</f>
        <v/>
      </c>
    </row>
    <row r="51">
      <c r="B51" s="3" t="inlineStr">
        <is>
          <t>PENALTY EXPOSURE — SCHEDULE ENTRIES ENGAGED</t>
        </is>
      </c>
      <c r="C51" s="4" t="n"/>
      <c r="D51" s="4" t="n"/>
      <c r="E51" s="4" t="n"/>
      <c r="F51" s="4" t="n"/>
      <c r="G51" s="4" t="n"/>
      <c r="H51" s="4" t="n"/>
      <c r="I51" s="4" t="n"/>
    </row>
    <row r="52">
      <c r="B52" s="11" t="inlineStr">
        <is>
          <t>Schedule entry</t>
        </is>
      </c>
      <c r="C52" s="11" t="inlineStr">
        <is>
          <t>Provision</t>
        </is>
      </c>
      <c r="D52" s="11" t="inlineStr">
        <is>
          <t>Max (INR cr)</t>
        </is>
      </c>
      <c r="E52" s="11" t="inlineStr">
        <is>
          <t>Gaps</t>
        </is>
      </c>
      <c r="F52" s="11" t="inlineStr">
        <is>
          <t>Engaged</t>
        </is>
      </c>
      <c r="G52" s="11" t="inlineStr">
        <is>
          <t>Exposure (INR cr)</t>
        </is>
      </c>
      <c r="H52" s="11" t="inlineStr"/>
      <c r="I52" s="11" t="inlineStr"/>
      <c r="J52" s="11" t="inlineStr">
        <is>
          <t>Breach</t>
        </is>
      </c>
    </row>
    <row r="53" ht="26" customHeight="1">
      <c r="B53" s="12" t="inlineStr">
        <is>
          <t>Entry 1</t>
        </is>
      </c>
      <c r="C53" s="12" t="inlineStr">
        <is>
          <t>s.8(5)</t>
        </is>
      </c>
      <c r="D53" s="13" t="n">
        <v>250</v>
      </c>
      <c r="E53" s="13">
        <f>COUNTIFS('Control Matrix'!$R$2:$R$91,1,'Control Matrix'!$AD$2:$AD$91,1)</f>
        <v/>
      </c>
      <c r="F53" s="8">
        <f>IF(E53&gt;0,"Yes","No")</f>
        <v/>
      </c>
      <c r="G53" s="13">
        <f>IF(AND(E53&gt;0,ISNUMBER(D53)),D53,0)</f>
        <v/>
      </c>
      <c r="J53" s="24" t="inlineStr">
        <is>
          <t>Breach of the obligation to take reasonable security safeguards to prevent personal data breach</t>
        </is>
      </c>
    </row>
    <row r="54" ht="26" customHeight="1">
      <c r="B54" s="12" t="inlineStr">
        <is>
          <t>Entry 2</t>
        </is>
      </c>
      <c r="C54" s="12" t="inlineStr">
        <is>
          <t>s.8(6)</t>
        </is>
      </c>
      <c r="D54" s="13" t="n">
        <v>200</v>
      </c>
      <c r="E54" s="13">
        <f>COUNTIFS('Control Matrix'!$R$2:$R$91,1,'Control Matrix'!$AD$2:$AD$91,2)</f>
        <v/>
      </c>
      <c r="F54" s="8">
        <f>IF(E54&gt;0,"Yes","No")</f>
        <v/>
      </c>
      <c r="G54" s="13">
        <f>IF(AND(E54&gt;0,ISNUMBER(D54)),D54,0)</f>
        <v/>
      </c>
      <c r="J54" s="24" t="inlineStr">
        <is>
          <t>Breach of the obligation to give the Board or affected Data Principal notice of a personal data breach</t>
        </is>
      </c>
    </row>
    <row r="55" ht="26" customHeight="1">
      <c r="B55" s="12" t="inlineStr">
        <is>
          <t>Entry 3</t>
        </is>
      </c>
      <c r="C55" s="12" t="inlineStr">
        <is>
          <t>s.9</t>
        </is>
      </c>
      <c r="D55" s="13" t="n">
        <v>200</v>
      </c>
      <c r="E55" s="13">
        <f>COUNTIFS('Control Matrix'!$R$2:$R$91,1,'Control Matrix'!$AD$2:$AD$91,3)</f>
        <v/>
      </c>
      <c r="F55" s="8">
        <f>IF(E55&gt;0,"Yes","No")</f>
        <v/>
      </c>
      <c r="G55" s="13">
        <f>IF(AND(E55&gt;0,ISNUMBER(D55)),D55,0)</f>
        <v/>
      </c>
      <c r="J55" s="24" t="inlineStr">
        <is>
          <t>Breach of additional obligations in relation to children</t>
        </is>
      </c>
    </row>
    <row r="56" ht="26" customHeight="1">
      <c r="B56" s="12" t="inlineStr">
        <is>
          <t>Entry 4</t>
        </is>
      </c>
      <c r="C56" s="12" t="inlineStr">
        <is>
          <t>s.10</t>
        </is>
      </c>
      <c r="D56" s="13" t="n">
        <v>150</v>
      </c>
      <c r="E56" s="13">
        <f>COUNTIFS('Control Matrix'!$R$2:$R$91,1,'Control Matrix'!$AD$2:$AD$91,4)</f>
        <v/>
      </c>
      <c r="F56" s="8">
        <f>IF(E56&gt;0,"Yes","No")</f>
        <v/>
      </c>
      <c r="G56" s="13">
        <f>IF(AND(E56&gt;0,ISNUMBER(D56)),D56,0)</f>
        <v/>
      </c>
      <c r="J56" s="24" t="inlineStr">
        <is>
          <t>Breach of additional obligations of a Significant Data Fiduciary</t>
        </is>
      </c>
    </row>
    <row r="57" ht="26" customHeight="1">
      <c r="B57" s="12" t="inlineStr">
        <is>
          <t>Entry 5</t>
        </is>
      </c>
      <c r="C57" s="12" t="inlineStr">
        <is>
          <t>s.15</t>
        </is>
      </c>
      <c r="D57" s="13" t="n">
        <v>0.001</v>
      </c>
      <c r="E57" s="13">
        <f>COUNTIFS('Control Matrix'!$R$2:$R$91,1,'Control Matrix'!$AD$2:$AD$91,5)</f>
        <v/>
      </c>
      <c r="F57" s="8">
        <f>IF(E57&gt;0,"Yes","No")</f>
        <v/>
      </c>
      <c r="G57" s="13">
        <f>IF(AND(E57&gt;0,ISNUMBER(D57)),D57,0)</f>
        <v/>
      </c>
      <c r="J57" s="24" t="inlineStr">
        <is>
          <t>Breach of the duties of a Data Principal</t>
        </is>
      </c>
    </row>
    <row r="58" ht="26" customHeight="1">
      <c r="B58" s="12" t="inlineStr">
        <is>
          <t>Entry 6</t>
        </is>
      </c>
      <c r="C58" s="12" t="inlineStr">
        <is>
          <t>s.32</t>
        </is>
      </c>
      <c r="D58" s="13" t="inlineStr">
        <is>
          <t>n/a</t>
        </is>
      </c>
      <c r="E58" s="13">
        <f>COUNTIFS('Control Matrix'!$R$2:$R$91,1,'Control Matrix'!$AD$2:$AD$91,6)</f>
        <v/>
      </c>
      <c r="F58" s="8">
        <f>IF(E58&gt;0,"Yes","No")</f>
        <v/>
      </c>
      <c r="G58" s="13">
        <f>IF(AND(E58&gt;0,ISNUMBER(D58)),D58,0)</f>
        <v/>
      </c>
      <c r="J58" s="24" t="inlineStr">
        <is>
          <t>Breach of any term of a voluntary undertaking accepted by the Board</t>
        </is>
      </c>
    </row>
    <row r="59" ht="26" customHeight="1">
      <c r="B59" s="12" t="inlineStr">
        <is>
          <t>Entry 7</t>
        </is>
      </c>
      <c r="C59" s="12" t="inlineStr">
        <is>
          <t>residuary</t>
        </is>
      </c>
      <c r="D59" s="13" t="n">
        <v>50</v>
      </c>
      <c r="E59" s="13">
        <f>COUNTIFS('Control Matrix'!$R$2:$R$91,1,'Control Matrix'!$AD$2:$AD$91,7)</f>
        <v/>
      </c>
      <c r="F59" s="8">
        <f>IF(E59&gt;0,"Yes","No")</f>
        <v/>
      </c>
      <c r="G59" s="13">
        <f>IF(AND(E59&gt;0,ISNUMBER(D59)),D59,0)</f>
        <v/>
      </c>
      <c r="J59" s="24" t="inlineStr">
        <is>
          <t>Breach of any other provision of the Act or rules made thereunder (residuary)</t>
        </is>
      </c>
    </row>
    <row r="60">
      <c r="B60" s="15" t="inlineStr">
        <is>
          <t>AGGREGATE CEILING</t>
        </is>
      </c>
      <c r="C60" s="16" t="n"/>
      <c r="D60" s="16" t="n"/>
      <c r="E60" s="16" t="n"/>
      <c r="F60" s="16" t="n"/>
      <c r="G60" s="25">
        <f>SUM(G53:G59)</f>
        <v/>
      </c>
    </row>
    <row r="62">
      <c r="B62" s="7" t="inlineStr">
        <is>
          <t>This is a ceiling under the Schedule, not an estimate of any penalty that would in fact be imposed. Section 33(2) requires the Board to have regard to the nature and gravity of the breach, its duration and repetitive nature, the type of personal data affected, mitigating action and its timeliness and effectiveness, and proportionality. Documented, prompt remediation is an express mitigating factor.</t>
        </is>
      </c>
    </row>
    <row r="63"/>
    <row r="64"/>
    <row r="65"/>
  </sheetData>
  <mergeCells count="2">
    <mergeCell ref="I6:I9"/>
    <mergeCell ref="B62:I6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D36"/>
  <sheetViews>
    <sheetView showGridLines="0" workbookViewId="0">
      <selection activeCell="A1" sqref="A1"/>
    </sheetView>
  </sheetViews>
  <sheetFormatPr baseColWidth="8" defaultRowHeight="15"/>
  <cols>
    <col width="3" customWidth="1" min="1" max="1"/>
    <col width="34" customWidth="1" min="2" max="2"/>
    <col width="62" customWidth="1" min="3" max="3"/>
    <col width="70" customWidth="1" min="4" max="4"/>
  </cols>
  <sheetData>
    <row r="2">
      <c r="B2" s="1" t="inlineStr">
        <is>
          <t>Company Profile &amp; Engagement Details</t>
        </is>
      </c>
    </row>
    <row r="3">
      <c r="B3" s="2" t="inlineStr">
        <is>
          <t>Yellow cells are inputs. Applicability flags determine which controls are in scope.</t>
        </is>
      </c>
    </row>
    <row r="5">
      <c r="B5" s="3" t="inlineStr">
        <is>
          <t>ENTITY</t>
        </is>
      </c>
      <c r="C5" s="4" t="n"/>
      <c r="D5" s="4" t="n"/>
    </row>
    <row r="6">
      <c r="B6" s="26" t="inlineStr">
        <is>
          <t>Legal name</t>
        </is>
      </c>
      <c r="C6" s="27" t="inlineStr">
        <is>
          <t>Kavach Financial Technologies Private Limited</t>
        </is>
      </c>
    </row>
    <row r="7">
      <c r="B7" s="26" t="inlineStr">
        <is>
          <t>Trading name</t>
        </is>
      </c>
      <c r="C7" s="27" t="inlineStr">
        <is>
          <t>KavachPay</t>
        </is>
      </c>
    </row>
    <row r="8">
      <c r="B8" s="26" t="inlineStr">
        <is>
          <t>Sector</t>
        </is>
      </c>
      <c r="C8" s="27" t="inlineStr">
        <is>
          <t>Financial services — consumer lending, UPI payments and prepaid instruments</t>
        </is>
      </c>
    </row>
    <row r="9">
      <c r="B9" s="26" t="inlineStr">
        <is>
          <t>Registered office</t>
        </is>
      </c>
      <c r="C9" s="27" t="inlineStr">
        <is>
          <t>Level 7, Prestige Zeta, Whitefield Main Road, Bengaluru 560066, Karnataka, India</t>
        </is>
      </c>
    </row>
    <row r="10">
      <c r="B10" s="26" t="inlineStr">
        <is>
          <t>Headcount</t>
        </is>
      </c>
      <c r="C10" s="27" t="n">
        <v>1180</v>
      </c>
    </row>
    <row r="11">
      <c r="B11" s="26" t="inlineStr">
        <is>
          <t>Data Principals (approx.)</t>
        </is>
      </c>
      <c r="C11" s="27" t="n">
        <v>14200000</v>
      </c>
    </row>
    <row r="12">
      <c r="B12" s="26" t="inlineStr">
        <is>
          <t>Business description</t>
        </is>
      </c>
      <c r="C12" s="27" t="inlineStr">
        <is>
          <t>KavachPay operates a consumer financial services platform in India comprising a UPI payments application, an unsecured personal and consumer-durable lending business originated digitally and co-lent with two partner NBFCs, a prepaid payment instrument wallet, and 'Kavach Junior', a supervised prepaid card and savings product marketed to 13-17 year olds under a parent's account. Onboarding is fully digital and relies on third-party KYC and bureau services. The entity was notified as a Significant Data Fiduciary and participates in the account aggregator ecosystem as a Financial Information User, receiving financial information through a registered Consent Manager.</t>
        </is>
      </c>
    </row>
    <row r="14">
      <c r="B14" s="3" t="inlineStr">
        <is>
          <t>ENGAGEMENT</t>
        </is>
      </c>
      <c r="C14" s="4" t="n"/>
      <c r="D14" s="4" t="n"/>
    </row>
    <row r="15">
      <c r="B15" s="26" t="inlineStr">
        <is>
          <t>Assessment date</t>
        </is>
      </c>
      <c r="C15" s="27" t="inlineStr">
        <is>
          <t>2026-08-14</t>
        </is>
      </c>
    </row>
    <row r="16">
      <c r="B16" s="26" t="inlineStr">
        <is>
          <t>Auditor</t>
        </is>
      </c>
      <c r="C16" s="27" t="inlineStr">
        <is>
          <t>Nandita Krishnan, CIPP/E, CISA</t>
        </is>
      </c>
    </row>
    <row r="17">
      <c r="B17" s="26" t="inlineStr">
        <is>
          <t>Firm</t>
        </is>
      </c>
      <c r="C17" s="27" t="inlineStr">
        <is>
          <t>Sentinel Assurance LLP, Chartered Accountants</t>
        </is>
      </c>
    </row>
    <row r="18">
      <c r="B18" s="26" t="inlineStr">
        <is>
          <t>Engagement reference</t>
        </is>
      </c>
      <c r="C18" s="27" t="inlineStr">
        <is>
          <t>SA/DPDP/2026/0417</t>
        </is>
      </c>
    </row>
    <row r="19">
      <c r="B19" s="26" t="inlineStr">
        <is>
          <t>Scope statement</t>
        </is>
      </c>
      <c r="C19" s="27" t="inlineStr">
        <is>
          <t>An assessment of the design and operating effectiveness of the entity's arrangements for compliance with the Digital Personal Data Protection Act, 2023 across the digital personal data processing activities of Kavach Financial Technologies Private Limited and its collections subsidiary, covering the systems and activities listed in the scope schedule. Fieldwork was performed between 27 July and 14 August 2026 and comprised document inspection, 19 process walkthroughs with control owners, inspection of system configuration, and substantive testing of consent, withdrawal, rights and erasure journeys on live and non-production environments.</t>
        </is>
      </c>
    </row>
    <row r="21">
      <c r="B21" s="3" t="inlineStr">
        <is>
          <t>APPLICABILITY FLAGS</t>
        </is>
      </c>
      <c r="C21" s="4" t="n"/>
      <c r="D21" s="4" t="n"/>
    </row>
    <row r="22">
      <c r="B22" s="28" t="inlineStr">
        <is>
          <t>Flag</t>
        </is>
      </c>
      <c r="C22" s="28" t="inlineStr">
        <is>
          <t>Value</t>
        </is>
      </c>
      <c r="D22" s="28" t="inlineStr">
        <is>
          <t>Meaning</t>
        </is>
      </c>
    </row>
    <row r="23" ht="36" customHeight="1">
      <c r="B23" s="19" t="inlineStr">
        <is>
          <t>is_sdf</t>
        </is>
      </c>
      <c r="C23" s="29" t="inlineStr">
        <is>
          <t>Yes</t>
        </is>
      </c>
      <c r="D23" s="7" t="inlineStr">
        <is>
          <t>Notified by the Central Government as a Significant Data Fiduciary under s.10(1). Set True only on actual notification, not on self-assessment.</t>
        </is>
      </c>
    </row>
    <row r="24" ht="36" customHeight="1">
      <c r="B24" s="19" t="inlineStr">
        <is>
          <t>processes_children_data</t>
        </is>
      </c>
      <c r="C24" s="29" t="inlineStr">
        <is>
          <t>Yes</t>
        </is>
      </c>
      <c r="D24" s="7" t="inlineStr">
        <is>
          <t>Processes personal data of individuals under 18, or of persons with a lawful guardian. Defaults True because age is rarely reliably excluded.</t>
        </is>
      </c>
    </row>
    <row r="25" ht="15" customHeight="1">
      <c r="B25" s="19" t="inlineStr">
        <is>
          <t>processes_employee_data</t>
        </is>
      </c>
      <c r="C25" s="29" t="inlineStr">
        <is>
          <t>Yes</t>
        </is>
      </c>
      <c r="D25" s="7" t="inlineStr">
        <is>
          <t>Processes personal data of employees, workers or contractors.</t>
        </is>
      </c>
    </row>
    <row r="26" ht="24" customHeight="1">
      <c r="B26" s="19" t="inlineStr">
        <is>
          <t>uses_consent_manager</t>
        </is>
      </c>
      <c r="C26" s="29" t="inlineStr">
        <is>
          <t>Yes</t>
        </is>
      </c>
      <c r="D26" s="7" t="inlineStr">
        <is>
          <t>Receives or manages consent through a registered Consent Manager under s.6(7).</t>
        </is>
      </c>
    </row>
    <row r="27" ht="24" customHeight="1">
      <c r="B27" s="19" t="inlineStr">
        <is>
          <t>is_consent_manager</t>
        </is>
      </c>
      <c r="C27" s="29" t="inlineStr">
        <is>
          <t>No</t>
        </is>
      </c>
      <c r="D27" s="7" t="inlineStr">
        <is>
          <t>The entity itself acts as a Consent Manager and requires registration under s.6(8).</t>
        </is>
      </c>
    </row>
    <row r="28" ht="24" customHeight="1">
      <c r="B28" s="19" t="inlineStr">
        <is>
          <t>has_pre_commencement_data</t>
        </is>
      </c>
      <c r="C28" s="29" t="inlineStr">
        <is>
          <t>Yes</t>
        </is>
      </c>
      <c r="D28" s="7" t="inlineStr">
        <is>
          <t>Holds personal data processed on the basis of consent given before commencement, engaging the retrospective notice duty under s.5(2).</t>
        </is>
      </c>
    </row>
    <row r="29" ht="36" customHeight="1">
      <c r="B29" s="19" t="inlineStr">
        <is>
          <t>regulated_sector</t>
        </is>
      </c>
      <c r="C29" s="29" t="inlineStr">
        <is>
          <t>Yes</t>
        </is>
      </c>
      <c r="D29" s="7" t="inlineStr">
        <is>
          <t>Subject to sectoral regulation that may impose stricter localisation or transfer requirements preserved by s.16(2) — banking, payments, insurance, telecom, securities, health.</t>
        </is>
      </c>
    </row>
    <row r="30" ht="24" customHeight="1">
      <c r="B30" s="19" t="inlineStr">
        <is>
          <t>claims_exemption</t>
        </is>
      </c>
      <c r="C30" s="29" t="inlineStr">
        <is>
          <t>No</t>
        </is>
      </c>
      <c r="D30" s="7" t="inlineStr">
        <is>
          <t>Claims any exemption under s.17, including the class-based route in s.17(3).</t>
        </is>
      </c>
    </row>
    <row r="31" ht="24" customHeight="1">
      <c r="B31" s="19" t="inlineStr">
        <is>
          <t>startup_exempt_s8_3</t>
        </is>
      </c>
      <c r="C31" s="29" t="inlineStr">
        <is>
          <t>No</t>
        </is>
      </c>
      <c r="D31" s="7" t="inlineStr">
        <is>
          <t>Exempt from s.8(3) as a notified class under s.17(3). Requires actual notification.</t>
        </is>
      </c>
    </row>
    <row r="32" ht="24" customHeight="1">
      <c r="B32" s="19" t="inlineStr">
        <is>
          <t>startup_exempt_s8_7</t>
        </is>
      </c>
      <c r="C32" s="29" t="inlineStr">
        <is>
          <t>No</t>
        </is>
      </c>
      <c r="D32" s="7" t="inlineStr">
        <is>
          <t>Exempt from s.8(7) as a notified class under s.17(3). Requires actual notification.</t>
        </is>
      </c>
    </row>
    <row r="33" ht="24" customHeight="1">
      <c r="B33" s="19" t="inlineStr">
        <is>
          <t>startup_exempt_s11</t>
        </is>
      </c>
      <c r="C33" s="29" t="inlineStr">
        <is>
          <t>No</t>
        </is>
      </c>
      <c r="D33" s="7" t="inlineStr">
        <is>
          <t>Exempt from s.11 as a notified class under s.17(3). Requires actual notification.</t>
        </is>
      </c>
    </row>
    <row r="35">
      <c r="B35" s="7" t="inlineStr">
        <is>
          <t>Note: changing a flag here does not re-filter the Control Matrix. Update the profile in the toolkit and regenerate, so that scope changes are recorded in the assessment file rather than only in the workbook.</t>
        </is>
      </c>
    </row>
    <row r="36"/>
  </sheetData>
  <mergeCells count="1">
    <mergeCell ref="B35:D36"/>
  </mergeCells>
  <dataValidations count="1">
    <dataValidation sqref="C23 C24 C25 C26 C27 C28 C29 C30 C31 C32 C33" showDropDown="0" showInputMessage="0" showErrorMessage="0" allowBlank="0"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C26"/>
  <sheetViews>
    <sheetView showGridLines="0" workbookViewId="0">
      <selection activeCell="A1" sqref="A1"/>
    </sheetView>
  </sheetViews>
  <sheetFormatPr baseColWidth="8" defaultRowHeight="15"/>
  <cols>
    <col width="3" customWidth="1" min="1" max="1"/>
    <col width="30" customWidth="1" min="2" max="2"/>
    <col width="100" customWidth="1" min="3" max="3"/>
  </cols>
  <sheetData>
    <row r="2">
      <c r="B2" s="1" t="inlineStr">
        <is>
          <t>DPDPA Compliance Audit — Control Matrix Workbook</t>
        </is>
      </c>
    </row>
    <row r="3">
      <c r="B3" s="2" t="inlineStr">
        <is>
          <t>Digital Personal Data Protection Act, 2023 · control library v1.0.0 · 90 controls across 17 domains</t>
        </is>
      </c>
    </row>
    <row r="5">
      <c r="B5" s="26" t="inlineStr"/>
      <c r="C5" s="30" t="inlineStr"/>
    </row>
    <row r="6">
      <c r="B6" s="3" t="inlineStr">
        <is>
          <t>HOW TO USE THIS WORKBOOK</t>
        </is>
      </c>
      <c r="C6" s="4" t="n"/>
    </row>
    <row r="7" ht="39" customHeight="1">
      <c r="B7" s="26" t="inlineStr">
        <is>
          <t>Live model</t>
        </is>
      </c>
      <c r="C7" s="30" t="inlineStr">
        <is>
          <t>This is a working model, not a static export. The Score column on the Control Matrix is the only scoring input. Risk, status, gap flags, domain maturity, the overall score and the penalty-exposure table are formulas and update as soon as a score changes.</t>
        </is>
      </c>
    </row>
    <row r="8" ht="52" customHeight="1">
      <c r="B8" s="26" t="inlineStr">
        <is>
          <t>Cells to edit</t>
        </is>
      </c>
      <c r="C8" s="30" t="inlineStr">
        <is>
          <t>Yellow cells only. On the Control Matrix these are Score (M), Finding (U), Evidence ref (V), Owner (W) and Target date (X). On Company Profile they are the value column. Every other cell is either reference text from the control library or a formula — overwriting a formula will break the dashboard.</t>
        </is>
      </c>
    </row>
    <row r="9" ht="52" customHeight="1">
      <c r="B9" s="26" t="inlineStr">
        <is>
          <t>Scoring scale</t>
        </is>
      </c>
      <c r="C9" s="30" t="inlineStr">
        <is>
          <t>The library defines anchored descriptors for 0, 2 and 4; 1 and 3 are intermediate positions. Score the position you can evidence, not the intent. 0 = Absent — no capability · 1 = Initial — ad hoc, undocumented · 2 = Developing — partial, inconsistent · 3 = Managed — substantially in place, minor gaps · 4 = Optimised — complete, evidenced, tested</t>
        </is>
      </c>
    </row>
    <row r="10" ht="39" customHeight="1">
      <c r="B10" s="26" t="inlineStr">
        <is>
          <t>Not applicable</t>
        </is>
      </c>
      <c r="C10" s="30" t="inlineStr">
        <is>
          <t>Enter NA where a control genuinely cannot apply. NA removes the control from the denominator. Do not score an inapplicable control 0 — that understates maturity and manufactures a gap that cannot be remediated.</t>
        </is>
      </c>
    </row>
    <row r="11" ht="39" customHeight="1">
      <c r="B11" s="26" t="inlineStr">
        <is>
          <t>Out of scope</t>
        </is>
      </c>
      <c r="C11" s="30" t="inlineStr">
        <is>
          <t>Controls shown as In scope = No were excluded automatically by the applicability flags on the Company Profile sheet, with the reason given in column I. Change a flag and regenerate from the toolkit to bring them into scope.</t>
        </is>
      </c>
    </row>
    <row r="12" ht="39" customHeight="1">
      <c r="B12" s="26" t="inlineStr">
        <is>
          <t>Gap threshold</t>
        </is>
      </c>
      <c r="C12" s="30" t="inlineStr">
        <is>
          <t>A control scoring below 3 of 4 is reported as a gap. 3 is the 'substantially in place, minor gaps' anchor, so the register captures every control where the obligation could not be concluded met.</t>
        </is>
      </c>
    </row>
    <row r="13" ht="39" customHeight="1">
      <c r="B13" s="26" t="inlineStr">
        <is>
          <t>Risk score</t>
        </is>
      </c>
      <c r="C13" s="30" t="inlineStr">
        <is>
          <t>Risk = severity rank × (4 − score), range 0 to 16. Severity ranks are critical 4, high 3, medium 2, low 1. Risk therefore reflects both the seriousness of the obligation and how far short the entity falls. Bands: 12+ Critical, 8-11 High, 4-7 Medium, 1-3 Low.</t>
        </is>
      </c>
    </row>
    <row r="14">
      <c r="B14" s="26" t="inlineStr"/>
      <c r="C14" s="30" t="inlineStr"/>
    </row>
    <row r="15">
      <c r="B15" s="3" t="inlineStr">
        <is>
          <t>CITATIONS — READ THIS</t>
        </is>
      </c>
      <c r="C15" s="4" t="n"/>
    </row>
    <row r="16" ht="15" customHeight="1">
      <c r="B16" s="26" t="inlineStr">
        <is>
          <t>Act references</t>
        </is>
      </c>
      <c r="C16" s="30" t="inlineStr">
        <is>
          <t>Column J cites the DPDP Act, 2023. These are stated with confidence.</t>
        </is>
      </c>
    </row>
    <row r="17" ht="52" customHeight="1">
      <c r="B17" s="26" t="inlineStr">
        <is>
          <t>Rules references</t>
        </is>
      </c>
      <c r="C17" s="30" t="inlineStr">
        <is>
          <t>Column K shows '[Rules citation to be verified]' wherever the rule number was not available when the library was authored. This is deliberate: a wrong statutory citation in a signed report passes review and reaches the regulator, whereas a blank one does not. Populate controls/citations.yaml once and every output updates. The Citations sheet lists each outstanding slot.</t>
        </is>
      </c>
    </row>
    <row r="18" ht="39" customHeight="1">
      <c r="B18" s="26" t="inlineStr">
        <is>
          <t>Commencement</t>
        </is>
      </c>
      <c r="C18" s="30" t="inlineStr">
        <is>
          <t>The commencement position of individual provisions was not confirmed. Findings are compliance gaps against the framework as a whole; do not characterise a gap as a contravention of a provision without first confirming that it is in force.</t>
        </is>
      </c>
    </row>
    <row r="19">
      <c r="B19" s="26" t="inlineStr"/>
      <c r="C19" s="30" t="inlineStr"/>
    </row>
    <row r="20">
      <c r="B20" s="3" t="inlineStr">
        <is>
          <t>PENALTY EXPOSURE</t>
        </is>
      </c>
      <c r="C20" s="4" t="n"/>
    </row>
    <row r="21" ht="26" customHeight="1">
      <c r="B21" s="26" t="inlineStr">
        <is>
          <t>What it shows</t>
        </is>
      </c>
      <c r="C21" s="30" t="inlineStr">
        <is>
          <t>The Dashboard aggregates the statutory maxima under the Schedule to the Act for those entries engaged by controls currently scored below the gap threshold.</t>
        </is>
      </c>
    </row>
    <row r="22" ht="52" customHeight="1">
      <c r="B22" s="26" t="inlineStr">
        <is>
          <t>What it is not</t>
        </is>
      </c>
      <c r="C22" s="30" t="inlineStr">
        <is>
          <t>It is a ceiling, not a prediction. Section 33(2) requires the Board to have regard to gravity, duration, the data affected, proportionality and mitigating action. Any penalty actually imposed would be a fraction of the ceiling, and documented prompt remediation is an express mitigating factor.</t>
        </is>
      </c>
    </row>
    <row r="24">
      <c r="B24" s="31" t="inlineStr">
        <is>
          <t>LEGEND</t>
        </is>
      </c>
    </row>
    <row r="25">
      <c r="B25" s="32" t="inlineStr">
        <is>
          <t>Yellow fill</t>
        </is>
      </c>
      <c r="C25" s="19" t="inlineStr">
        <is>
          <t>Input cell — edit this</t>
        </is>
      </c>
    </row>
    <row r="26">
      <c r="B26" s="5" t="inlineStr">
        <is>
          <t>White / grey</t>
        </is>
      </c>
      <c r="C26" s="19" t="inlineStr">
        <is>
          <t>Reference text or formula — do not overwrite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E9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1" customWidth="1" min="1" max="1"/>
    <col width="9" customWidth="1" min="2" max="2"/>
    <col width="30" customWidth="1" min="3" max="3"/>
    <col width="44" customWidth="1" min="4" max="4"/>
    <col width="11" customWidth="1" min="5" max="5"/>
    <col width="9" customWidth="1" min="6" max="6"/>
    <col width="8" customWidth="1" min="7" max="7"/>
    <col width="9" customWidth="1" min="8" max="8"/>
    <col width="26" customWidth="1" min="9" max="9"/>
    <col width="26" customWidth="1" min="10" max="10"/>
    <col width="26" customWidth="1" min="11" max="11"/>
    <col width="30" customWidth="1" min="12" max="12"/>
    <col width="13" customWidth="1" min="13" max="13"/>
    <col width="8" customWidth="1" min="14" max="14"/>
    <col width="22" customWidth="1" min="15" max="15"/>
    <col width="7" customWidth="1" min="16" max="16"/>
    <col width="12" customWidth="1" min="17" max="17"/>
    <col width="6" customWidth="1" min="18" max="18"/>
    <col width="11" customWidth="1" min="19" max="19"/>
    <col width="13" customWidth="1" min="20" max="20"/>
    <col width="52" customWidth="1" min="21" max="21"/>
    <col width="18" customWidth="1" min="22" max="22"/>
    <col width="18" customWidth="1" min="23" max="23"/>
    <col width="13" customWidth="1" min="24" max="24"/>
    <col width="60" customWidth="1" min="25" max="25"/>
    <col width="60" customWidth="1" min="26" max="26"/>
    <col width="50" customWidth="1" min="27" max="27"/>
    <col width="50" customWidth="1" min="28" max="28"/>
    <col width="26" customWidth="1" min="29" max="29"/>
    <col width="11" customWidth="1" min="30" max="30"/>
    <col width="70" customWidth="1" min="31" max="31"/>
  </cols>
  <sheetData>
    <row r="1" ht="30" customHeight="1">
      <c r="A1" s="11" t="inlineStr">
        <is>
          <t>Control ID</t>
        </is>
      </c>
      <c r="B1" s="11" t="inlineStr">
        <is>
          <t>Domain</t>
        </is>
      </c>
      <c r="C1" s="11" t="inlineStr">
        <is>
          <t>Domain name</t>
        </is>
      </c>
      <c r="D1" s="11" t="inlineStr">
        <is>
          <t>Control title</t>
        </is>
      </c>
      <c r="E1" s="11" t="inlineStr">
        <is>
          <t>Severity</t>
        </is>
      </c>
      <c r="F1" s="11" t="inlineStr">
        <is>
          <t>Sev rank</t>
        </is>
      </c>
      <c r="G1" s="11" t="inlineStr">
        <is>
          <t>Weight</t>
        </is>
      </c>
      <c r="H1" s="11" t="inlineStr">
        <is>
          <t>In scope</t>
        </is>
      </c>
      <c r="I1" s="11" t="inlineStr">
        <is>
          <t>Scope reason</t>
        </is>
      </c>
      <c r="J1" s="11" t="inlineStr">
        <is>
          <t>Act reference</t>
        </is>
      </c>
      <c r="K1" s="11" t="inlineStr">
        <is>
          <t>Rules reference</t>
        </is>
      </c>
      <c r="L1" s="11" t="inlineStr">
        <is>
          <t>Rules status</t>
        </is>
      </c>
      <c r="M1" s="11" t="inlineStr">
        <is>
          <t>Score (0-4 / NA)</t>
        </is>
      </c>
      <c r="N1" s="11" t="inlineStr">
        <is>
          <t>Scored</t>
        </is>
      </c>
      <c r="O1" s="11" t="inlineStr">
        <is>
          <t>Status</t>
        </is>
      </c>
      <c r="P1" s="11" t="inlineStr">
        <is>
          <t>Risk</t>
        </is>
      </c>
      <c r="Q1" s="11" t="inlineStr">
        <is>
          <t>Risk band</t>
        </is>
      </c>
      <c r="R1" s="11" t="inlineStr">
        <is>
          <t>Gap</t>
        </is>
      </c>
      <c r="S1" s="11" t="inlineStr">
        <is>
          <t>Contribution</t>
        </is>
      </c>
      <c r="T1" s="11" t="inlineStr">
        <is>
          <t>Max contribution</t>
        </is>
      </c>
      <c r="U1" s="11" t="inlineStr">
        <is>
          <t>Finding</t>
        </is>
      </c>
      <c r="V1" s="11" t="inlineStr">
        <is>
          <t>Evidence ref</t>
        </is>
      </c>
      <c r="W1" s="11" t="inlineStr">
        <is>
          <t>Owner</t>
        </is>
      </c>
      <c r="X1" s="11" t="inlineStr">
        <is>
          <t>Target date</t>
        </is>
      </c>
      <c r="Y1" s="11" t="inlineStr">
        <is>
          <t>Obligation</t>
        </is>
      </c>
      <c r="Z1" s="11" t="inlineStr">
        <is>
          <t>Audit question</t>
        </is>
      </c>
      <c r="AA1" s="11" t="inlineStr">
        <is>
          <t>Test procedure</t>
        </is>
      </c>
      <c r="AB1" s="11" t="inlineStr">
        <is>
          <t>Evidence expected</t>
        </is>
      </c>
      <c r="AC1" s="11" t="inlineStr">
        <is>
          <t>Penalty exposure</t>
        </is>
      </c>
      <c r="AD1" s="11" t="inlineStr">
        <is>
          <t>Penalty entry</t>
        </is>
      </c>
      <c r="AE1" s="11" t="inlineStr">
        <is>
          <t>Required target state (level 4)</t>
        </is>
      </c>
    </row>
    <row r="2" ht="42" customHeight="1">
      <c r="A2" s="33" t="inlineStr">
        <is>
          <t>APP-01</t>
        </is>
      </c>
      <c r="B2" s="33" t="inlineStr">
        <is>
          <t>APP</t>
        </is>
      </c>
      <c r="C2" s="33" t="inlineStr">
        <is>
          <t>Applicability &amp; Role Determination</t>
        </is>
      </c>
      <c r="D2" s="33" t="inlineStr">
        <is>
          <t>Territorial and material applicability assessed</t>
        </is>
      </c>
      <c r="E2" s="33" t="inlineStr">
        <is>
          <t>High</t>
        </is>
      </c>
      <c r="F2" s="34">
        <f>IF(E2="Critical",4,IF(E2="High",3,IF(E2="Medium",2,1)))</f>
        <v/>
      </c>
      <c r="G2" s="35" t="n">
        <v>1.2</v>
      </c>
      <c r="H2" s="33" t="inlineStr">
        <is>
          <t>Yes</t>
        </is>
      </c>
      <c r="I2" s="33" t="inlineStr">
        <is>
          <t>in scope</t>
        </is>
      </c>
      <c r="J2" s="33" t="inlineStr">
        <is>
          <t>s.3(a), s.3(b), DPDP Act, 2023</t>
        </is>
      </c>
      <c r="K2" s="33" t="inlineStr">
        <is>
          <t>—</t>
        </is>
      </c>
      <c r="L2" s="33" t="inlineStr">
        <is>
          <t>—</t>
        </is>
      </c>
      <c r="M2" s="36" t="n">
        <v>3</v>
      </c>
      <c r="N2" s="34">
        <f>IF(OR(H2="No",M2="",UPPER(M2)="NA"),0,1)</f>
        <v/>
      </c>
      <c r="O2" s="37">
        <f>IF(H2="No","Out of scope",IF(UPPER(M2)="NA","Not applicable",IF(M2="","Not assessed",IF(M2&gt;=4,"Compliant",IF(M2&gt;=3,"Substantially compliant",IF(M2&gt;=2,"Partially compliant","Non-compliant"))))))</f>
        <v/>
      </c>
      <c r="P2" s="34">
        <f>IF(N2=0,"",F2*(4-M2))</f>
        <v/>
      </c>
      <c r="Q2" s="37">
        <f>IF(P2="","",IF(P2&gt;=12,"Critical",IF(P2&gt;=8,"High",IF(P2&gt;=4,"Medium",IF(P2&gt;=1,"Low","None")))))</f>
        <v/>
      </c>
      <c r="R2" s="34">
        <f>IF(AND(N2=1,M2&lt;3),1,0)</f>
        <v/>
      </c>
      <c r="S2" s="34">
        <f>IF(N2=0,"",M2*G2)</f>
        <v/>
      </c>
      <c r="T2" s="34">
        <f>IF(N2=0,"",4*G2)</f>
        <v/>
      </c>
      <c r="U2" s="27" t="inlineStr">
        <is>
          <t>A written applicability analysis dated 12 February 2026 concludes that the entity processes digital personal data within India as a Data Fiduciary and additionally offers goods and services to Data Principals in India from a Singapore-incorporated affiliate. The analysis is sound but has not been revisited since the Kavach Junior launch in April 2026.</t>
        </is>
      </c>
      <c r="V2" s="27" t="inlineStr">
        <is>
          <t>WP-001</t>
        </is>
      </c>
      <c r="W2" s="27" t="inlineStr">
        <is>
          <t>Meera Raghunathan, Head of Legal &amp; Compliance</t>
        </is>
      </c>
      <c r="X2" s="27" t="inlineStr"/>
      <c r="Y2" s="33" t="inlineStr">
        <is>
          <t>The Act applies to processing of digital personal data within India, and to processing outside India where it is in connection with any activity related to offering goods or services to Data Principals within India. The entity must have determined, and be able to explain, why the Act applies to it and to which processing activities.</t>
        </is>
      </c>
      <c r="Z2" s="33" t="inlineStr">
        <is>
          <t>Has the entity documented a reasoned applicability assessment covering both India-based processing and any offshore processing connected with offering goods or services into India? Does it correctly treat personal data collected in non-digital form and subsequently digitised as in scope?</t>
        </is>
      </c>
      <c r="AA2" s="33" t="inlineStr">
        <is>
          <t>Inspect the applicability assessment; enquire of legal/privacy owner; corroborate against the entity's actual product footprint and entity structure.</t>
        </is>
      </c>
      <c r="AB2" s="33" t="inlineStr">
        <is>
          <t>Written applicability assessment or scoping memorandum, dated and owned · List of legal entities, branches and offshore affiliates that process personal data of individuals in India · Confirmation of treatment of digitised paper records</t>
        </is>
      </c>
      <c r="AC2" s="33" t="inlineStr">
        <is>
          <t>Up to INR 50 crore</t>
        </is>
      </c>
      <c r="AD2" s="35" t="n">
        <v>7</v>
      </c>
      <c r="AE2" s="33" t="inlineStr">
        <is>
          <t>A documented, dated and reviewed assessment covers all entities and processing activities, correctly addresses extraterritorial reach and digitised records, and is refreshed when the product or entity footprint changes.</t>
        </is>
      </c>
    </row>
    <row r="3" ht="42" customHeight="1">
      <c r="A3" s="33" t="inlineStr">
        <is>
          <t>APP-02</t>
        </is>
      </c>
      <c r="B3" s="33" t="inlineStr">
        <is>
          <t>APP</t>
        </is>
      </c>
      <c r="C3" s="33" t="inlineStr">
        <is>
          <t>Applicability &amp; Role Determination</t>
        </is>
      </c>
      <c r="D3" s="33" t="inlineStr">
        <is>
          <t>Role determination — Data Fiduciary versus Data Processor</t>
        </is>
      </c>
      <c r="E3" s="33" t="inlineStr">
        <is>
          <t>Critical</t>
        </is>
      </c>
      <c r="F3" s="34">
        <f>IF(E3="Critical",4,IF(E3="High",3,IF(E3="Medium",2,1)))</f>
        <v/>
      </c>
      <c r="G3" s="35" t="n">
        <v>1.3</v>
      </c>
      <c r="H3" s="33" t="inlineStr">
        <is>
          <t>Yes</t>
        </is>
      </c>
      <c r="I3" s="33" t="inlineStr">
        <is>
          <t>in scope</t>
        </is>
      </c>
      <c r="J3" s="33" t="inlineStr">
        <is>
          <t>s.2, DPDP Act, 2023 (definitions of "Data Fiduciary", "Data Processor" and "Data Principal"), read with s.8(1)</t>
        </is>
      </c>
      <c r="K3" s="33" t="inlineStr">
        <is>
          <t>—</t>
        </is>
      </c>
      <c r="L3" s="33" t="inlineStr">
        <is>
          <t>—</t>
        </is>
      </c>
      <c r="M3" s="36" t="n">
        <v>2</v>
      </c>
      <c r="N3" s="34">
        <f>IF(OR(H3="No",M3="",UPPER(M3)="NA"),0,1)</f>
        <v/>
      </c>
      <c r="O3" s="37">
        <f>IF(H3="No","Out of scope",IF(UPPER(M3)="NA","Not applicable",IF(M3="","Not assessed",IF(M3&gt;=4,"Compliant",IF(M3&gt;=3,"Substantially compliant",IF(M3&gt;=2,"Partially compliant","Non-compliant"))))))</f>
        <v/>
      </c>
      <c r="P3" s="34">
        <f>IF(N3=0,"",F3*(4-M3))</f>
        <v/>
      </c>
      <c r="Q3" s="37">
        <f>IF(P3="","",IF(P3&gt;=12,"Critical",IF(P3&gt;=8,"High",IF(P3&gt;=4,"Medium",IF(P3&gt;=1,"Low","None")))))</f>
        <v/>
      </c>
      <c r="R3" s="34">
        <f>IF(AND(N3=1,M3&lt;3),1,0)</f>
        <v/>
      </c>
      <c r="S3" s="34">
        <f>IF(N3=0,"",M3*G3)</f>
        <v/>
      </c>
      <c r="T3" s="34">
        <f>IF(N3=0,"",4*G3)</f>
        <v/>
      </c>
      <c r="U3" s="27" t="inlineStr">
        <is>
          <t>Role determination has been performed for the co-lending arrangements and for the KYC vendors, but not for the marketing stack. CleverTap and the Meta Custom Audiences integration are treated as processors in the vendor register while the contractual terms and the practical control over onward use point to an independent fiduciary role for the advertising platforms. The mischaracterisation understates the notice and consent obligations attaching to those disclosures.</t>
        </is>
      </c>
      <c r="V3" s="27" t="inlineStr">
        <is>
          <t>WP-002</t>
        </is>
      </c>
      <c r="W3" s="27" t="inlineStr">
        <is>
          <t>Meera Raghunathan, Head of Legal &amp; Compliance</t>
        </is>
      </c>
      <c r="X3" s="27" t="inlineStr"/>
      <c r="Y3" s="33" t="inlineStr">
        <is>
          <t>The entity must correctly determine, for each processing activity, whether it acts as a Data Fiduciary (alone or jointly), determining the purpose and means of processing, or as a Data Processor acting on another's behalf.</t>
        </is>
      </c>
      <c r="Z3" s="33" t="inlineStr">
        <is>
          <t>Is there an activity-level role mapping? Where the entity claims to be only a Data Processor, does the evidence support that it does not determine purpose or means — including for any analytics, product improvement, model training or marketing it performs on the same data?</t>
        </is>
      </c>
      <c r="AA3" s="33" t="inlineStr">
        <is>
          <t>Inspect role mapping; re-perform the determination for a sample of three activities, testing the claim against contracts and actual data use.</t>
        </is>
      </c>
      <c r="AB3" s="33" t="inlineStr">
        <is>
          <t>Activity-level register recording role assumed and the basis for it · Customer or client contracts supporting a processor characterisation · Evidence that no independent purposes are pursued on processor-held data</t>
        </is>
      </c>
      <c r="AC3" s="33" t="inlineStr">
        <is>
          <t>Up to INR 50 crore</t>
        </is>
      </c>
      <c r="AD3" s="35" t="n">
        <v>7</v>
      </c>
      <c r="AE3" s="33" t="inlineStr">
        <is>
          <t>Roles are determined per activity, documented with reasoning, consistent with contracts and observed data flows, and re-tested when new uses such as model training are introduced.</t>
        </is>
      </c>
    </row>
    <row r="4" ht="42" customHeight="1">
      <c r="A4" s="38" t="inlineStr">
        <is>
          <t>APP-03</t>
        </is>
      </c>
      <c r="B4" s="38" t="inlineStr">
        <is>
          <t>APP</t>
        </is>
      </c>
      <c r="C4" s="38" t="inlineStr">
        <is>
          <t>Applicability &amp; Role Determination</t>
        </is>
      </c>
      <c r="D4" s="38" t="inlineStr">
        <is>
          <t>Exemptions claimed are valid and evidenced</t>
        </is>
      </c>
      <c r="E4" s="38" t="inlineStr">
        <is>
          <t>High</t>
        </is>
      </c>
      <c r="F4" s="39">
        <f>IF(E4="Critical",4,IF(E4="High",3,IF(E4="Medium",2,1)))</f>
        <v/>
      </c>
      <c r="G4" s="40" t="n">
        <v>1</v>
      </c>
      <c r="H4" s="38" t="inlineStr">
        <is>
          <t>No</t>
        </is>
      </c>
      <c r="I4" s="38" t="inlineStr">
        <is>
          <t>requires claims_exemption</t>
        </is>
      </c>
      <c r="J4" s="38" t="inlineStr">
        <is>
          <t>s.17(1), s.17(2), s.17(3), s.17(4), DPDP Act, 2023</t>
        </is>
      </c>
      <c r="K4" s="38" t="inlineStr">
        <is>
          <t>[Rules citation to be verified]</t>
        </is>
      </c>
      <c r="L4" s="38" t="inlineStr">
        <is>
          <t>VERIFY_AGAINST_NOTIFIED_RULES</t>
        </is>
      </c>
      <c r="M4" s="36" t="inlineStr"/>
      <c r="N4" s="39">
        <f>IF(OR(H4="No",M4="",UPPER(M4)="NA"),0,1)</f>
        <v/>
      </c>
      <c r="O4" s="41">
        <f>IF(H4="No","Out of scope",IF(UPPER(M4)="NA","Not applicable",IF(M4="","Not assessed",IF(M4&gt;=4,"Compliant",IF(M4&gt;=3,"Substantially compliant",IF(M4&gt;=2,"Partially compliant","Non-compliant"))))))</f>
        <v/>
      </c>
      <c r="P4" s="39">
        <f>IF(N4=0,"",F4*(4-M4))</f>
        <v/>
      </c>
      <c r="Q4" s="41">
        <f>IF(P4="","",IF(P4&gt;=12,"Critical",IF(P4&gt;=8,"High",IF(P4&gt;=4,"Medium",IF(P4&gt;=1,"Low","None")))))</f>
        <v/>
      </c>
      <c r="R4" s="39">
        <f>IF(AND(N4=1,M4&lt;3),1,0)</f>
        <v/>
      </c>
      <c r="S4" s="39">
        <f>IF(N4=0,"",M4*G4)</f>
        <v/>
      </c>
      <c r="T4" s="39">
        <f>IF(N4=0,"",4*G4)</f>
        <v/>
      </c>
      <c r="U4" s="42" t="inlineStr"/>
      <c r="V4" s="42" t="inlineStr"/>
      <c r="W4" s="42" t="inlineStr"/>
      <c r="X4" s="42" t="inlineStr"/>
      <c r="Y4" s="38" t="inlineStr">
        <is>
          <t>Exemptions under section 17 apply only in the circumstances specified. The startup and class-based exemption under section 17(3) operates only in favour of classes of Data Fiduciary actually notified by the Central Government, and covers only the specified provisions.</t>
        </is>
      </c>
      <c r="Z4" s="38" t="inlineStr">
        <is>
          <t>Does the entity claim any exemption? If it claims the section 17(3) route, can it show that it falls within a class actually notified, rather than relying on self-identification as a startup? Is the claim limited to the provisions the exemption actually reaches?</t>
        </is>
      </c>
      <c r="AA4" s="38" t="inlineStr">
        <is>
          <t>Inspect the exemption claim and supporting notification; test the scope claimed against the provisions the exemption covers.</t>
        </is>
      </c>
      <c r="AB4" s="38" t="inlineStr">
        <is>
          <t>Written exemption analysis identifying the specific limb relied upon · Evidence of falling within a notified class, where section 17(3) is relied upon · Confirmation that obligations outside the exemption's scope continue to be met</t>
        </is>
      </c>
      <c r="AC4" s="38" t="inlineStr">
        <is>
          <t>Up to INR 50 crore</t>
        </is>
      </c>
      <c r="AD4" s="40" t="n">
        <v>7</v>
      </c>
      <c r="AE4" s="38" t="inlineStr">
        <is>
          <t>Either no exemption is claimed, or the claim is narrowly scoped, evidenced against a notified class, and obligations outside its reach are demonstrably still met.</t>
        </is>
      </c>
    </row>
    <row r="5" ht="42" customHeight="1">
      <c r="A5" s="38" t="inlineStr">
        <is>
          <t>APP-04</t>
        </is>
      </c>
      <c r="B5" s="38" t="inlineStr">
        <is>
          <t>APP</t>
        </is>
      </c>
      <c r="C5" s="38" t="inlineStr">
        <is>
          <t>Applicability &amp; Role Determination</t>
        </is>
      </c>
      <c r="D5" s="38" t="inlineStr">
        <is>
          <t>Significant Data Fiduciary exposure assessed</t>
        </is>
      </c>
      <c r="E5" s="38" t="inlineStr">
        <is>
          <t>Medium</t>
        </is>
      </c>
      <c r="F5" s="39">
        <f>IF(E5="Critical",4,IF(E5="High",3,IF(E5="Medium",2,1)))</f>
        <v/>
      </c>
      <c r="G5" s="40" t="n">
        <v>0.9</v>
      </c>
      <c r="H5" s="38" t="inlineStr">
        <is>
          <t>No</t>
        </is>
      </c>
      <c r="I5" s="38" t="inlineStr">
        <is>
          <t>excluded by is_sdf</t>
        </is>
      </c>
      <c r="J5" s="38" t="inlineStr">
        <is>
          <t>s.10(1), DPDP Act, 2023</t>
        </is>
      </c>
      <c r="K5" s="38" t="inlineStr">
        <is>
          <t>—</t>
        </is>
      </c>
      <c r="L5" s="38" t="inlineStr">
        <is>
          <t>—</t>
        </is>
      </c>
      <c r="M5" s="36" t="inlineStr"/>
      <c r="N5" s="39">
        <f>IF(OR(H5="No",M5="",UPPER(M5)="NA"),0,1)</f>
        <v/>
      </c>
      <c r="O5" s="41">
        <f>IF(H5="No","Out of scope",IF(UPPER(M5)="NA","Not applicable",IF(M5="","Not assessed",IF(M5&gt;=4,"Compliant",IF(M5&gt;=3,"Substantially compliant",IF(M5&gt;=2,"Partially compliant","Non-compliant"))))))</f>
        <v/>
      </c>
      <c r="P5" s="39">
        <f>IF(N5=0,"",F5*(4-M5))</f>
        <v/>
      </c>
      <c r="Q5" s="41">
        <f>IF(P5="","",IF(P5&gt;=12,"Critical",IF(P5&gt;=8,"High",IF(P5&gt;=4,"Medium",IF(P5&gt;=1,"Low","None")))))</f>
        <v/>
      </c>
      <c r="R5" s="39">
        <f>IF(AND(N5=1,M5&lt;3),1,0)</f>
        <v/>
      </c>
      <c r="S5" s="39">
        <f>IF(N5=0,"",M5*G5)</f>
        <v/>
      </c>
      <c r="T5" s="39">
        <f>IF(N5=0,"",4*G5)</f>
        <v/>
      </c>
      <c r="U5" s="42" t="inlineStr"/>
      <c r="V5" s="42" t="inlineStr"/>
      <c r="W5" s="42" t="inlineStr"/>
      <c r="X5" s="42" t="inlineStr"/>
      <c r="Y5" s="38" t="inlineStr">
        <is>
          <t>The Central Government may notify a Data Fiduciary or class of Data Fiduciaries as Significant, having regard to the volume and sensitivity of personal data processed, risk to the rights of Data Principals, potential effects on the sovereignty and integrity of India, risk to electoral democracy, security of the State and public order.</t>
        </is>
      </c>
      <c r="Z5" s="38" t="inlineStr">
        <is>
          <t>Has the entity assessed its likelihood of designation against the section 10(1) factors, and does it have a plan to stand up section 10(2) capability within a realistic period of being notified?</t>
        </is>
      </c>
      <c r="AA5" s="38" t="inlineStr">
        <is>
          <t>Inspect the self-assessment against each statutory factor; enquire as to readiness planning.</t>
        </is>
      </c>
      <c r="AB5" s="38" t="inlineStr">
        <is>
          <t>Self-assessment against each of the section 10(1) factors · Readiness plan for DPO appointment, DPIA, independent audit and algorithmic due diligence · Board or management minute acknowledging the exposure</t>
        </is>
      </c>
      <c r="AC5" s="38" t="inlineStr">
        <is>
          <t>—</t>
        </is>
      </c>
      <c r="AD5" s="40" t="inlineStr"/>
      <c r="AE5" s="38" t="inlineStr">
        <is>
          <t>A documented assessment against each factor exists, is periodically refreshed, and a costed readiness plan is approved so that designation would not require a standing start.</t>
        </is>
      </c>
    </row>
    <row r="6" ht="42" customHeight="1">
      <c r="A6" s="33" t="inlineStr">
        <is>
          <t>APP-05</t>
        </is>
      </c>
      <c r="B6" s="33" t="inlineStr">
        <is>
          <t>APP</t>
        </is>
      </c>
      <c r="C6" s="33" t="inlineStr">
        <is>
          <t>Applicability &amp; Role Determination</t>
        </is>
      </c>
      <c r="D6" s="33" t="inlineStr">
        <is>
          <t>Commencement and phasing tracked against the compliance plan</t>
        </is>
      </c>
      <c r="E6" s="33" t="inlineStr">
        <is>
          <t>High</t>
        </is>
      </c>
      <c r="F6" s="34">
        <f>IF(E6="Critical",4,IF(E6="High",3,IF(E6="Medium",2,1)))</f>
        <v/>
      </c>
      <c r="G6" s="35" t="n">
        <v>1.1</v>
      </c>
      <c r="H6" s="33" t="inlineStr">
        <is>
          <t>Yes</t>
        </is>
      </c>
      <c r="I6" s="33" t="inlineStr">
        <is>
          <t>in scope</t>
        </is>
      </c>
      <c r="J6" s="33" t="inlineStr">
        <is>
          <t>s.1(2), DPDP Act, 2023</t>
        </is>
      </c>
      <c r="K6" s="33" t="inlineStr">
        <is>
          <t>[Rules citation to be verified]</t>
        </is>
      </c>
      <c r="L6" s="33" t="inlineStr">
        <is>
          <t>VERIFY_AGAINST_NOTIFIED_RULES</t>
        </is>
      </c>
      <c r="M6" s="36" t="n">
        <v>1</v>
      </c>
      <c r="N6" s="34">
        <f>IF(OR(H6="No",M6="",UPPER(M6)="NA"),0,1)</f>
        <v/>
      </c>
      <c r="O6" s="37">
        <f>IF(H6="No","Out of scope",IF(UPPER(M6)="NA","Not applicable",IF(M6="","Not assessed",IF(M6&gt;=4,"Compliant",IF(M6&gt;=3,"Substantially compliant",IF(M6&gt;=2,"Partially compliant","Non-compliant"))))))</f>
        <v/>
      </c>
      <c r="P6" s="34">
        <f>IF(N6=0,"",F6*(4-M6))</f>
        <v/>
      </c>
      <c r="Q6" s="37">
        <f>IF(P6="","",IF(P6&gt;=12,"Critical",IF(P6&gt;=8,"High",IF(P6&gt;=4,"Medium",IF(P6&gt;=1,"Low","None")))))</f>
        <v/>
      </c>
      <c r="R6" s="34">
        <f>IF(AND(N6=1,M6&lt;3),1,0)</f>
        <v/>
      </c>
      <c r="S6" s="34">
        <f>IF(N6=0,"",M6*G6)</f>
        <v/>
      </c>
      <c r="T6" s="34">
        <f>IF(N6=0,"",4*G6)</f>
        <v/>
      </c>
      <c r="U6" s="27" t="inlineStr">
        <is>
          <t>The compliance plan carries a single milestone described as 'DPDP readiness' with no linkage to the commencement of individual provisions or to the phasing of the Rules. Management could not demonstrate a mechanism for tracking notifications, so a provision coming into force would not automatically trigger a change in the plan.</t>
        </is>
      </c>
      <c r="V6" s="27" t="inlineStr">
        <is>
          <t>WP-003</t>
        </is>
      </c>
      <c r="W6" s="27" t="inlineStr">
        <is>
          <t>Meera Raghunathan, Head of Legal &amp; Compliance</t>
        </is>
      </c>
      <c r="X6" s="27" t="inlineStr"/>
      <c r="Y6" s="33" t="inlineStr">
        <is>
          <t>Provisions of the Act and the Rules come into force on such dates as are appointed, which may differ across provisions. The entity must know which obligations are presently enforceable and which are forthcoming.</t>
        </is>
      </c>
      <c r="Z6" s="33" t="inlineStr">
        <is>
          <t>Does the entity maintain a current view of which provisions are in force, with its remediation plan sequenced against those dates rather than against an assumption that everything is either live or not yet live?</t>
        </is>
      </c>
      <c r="AA6" s="33" t="inlineStr">
        <is>
          <t>Inspect the compliance calendar; corroborate the dates recorded against the commencement notification.</t>
        </is>
      </c>
      <c r="AB6" s="33" t="inlineStr">
        <is>
          <t>Compliance calendar mapping obligations to commencement dates · Remediation plan sequenced against those dates · Evidence of monitoring for further notifications</t>
        </is>
      </c>
      <c r="AC6" s="33" t="inlineStr">
        <is>
          <t>—</t>
        </is>
      </c>
      <c r="AD6" s="35" t="inlineStr"/>
      <c r="AE6" s="33" t="inlineStr">
        <is>
          <t>A maintained calendar tracks each tranche, remediation is sequenced against it, and a named owner monitors for further notifications and Board guidance.</t>
        </is>
      </c>
    </row>
    <row r="7" ht="42" customHeight="1">
      <c r="A7" s="33" t="inlineStr">
        <is>
          <t>GOV-01</t>
        </is>
      </c>
      <c r="B7" s="33" t="inlineStr">
        <is>
          <t>GOV</t>
        </is>
      </c>
      <c r="C7" s="33" t="inlineStr">
        <is>
          <t>Governance, Accountability &amp; Records</t>
        </is>
      </c>
      <c r="D7" s="33" t="inlineStr">
        <is>
          <t>Accountability for compliance, including processor activity</t>
        </is>
      </c>
      <c r="E7" s="33" t="inlineStr">
        <is>
          <t>Critical</t>
        </is>
      </c>
      <c r="F7" s="34">
        <f>IF(E7="Critical",4,IF(E7="High",3,IF(E7="Medium",2,1)))</f>
        <v/>
      </c>
      <c r="G7" s="35" t="n">
        <v>1.3</v>
      </c>
      <c r="H7" s="33" t="inlineStr">
        <is>
          <t>Yes</t>
        </is>
      </c>
      <c r="I7" s="33" t="inlineStr">
        <is>
          <t>in scope</t>
        </is>
      </c>
      <c r="J7" s="33" t="inlineStr">
        <is>
          <t>s.8(1), DPDP Act, 2023</t>
        </is>
      </c>
      <c r="K7" s="33" t="inlineStr">
        <is>
          <t>—</t>
        </is>
      </c>
      <c r="L7" s="33" t="inlineStr">
        <is>
          <t>—</t>
        </is>
      </c>
      <c r="M7" s="36" t="n">
        <v>2</v>
      </c>
      <c r="N7" s="34">
        <f>IF(OR(H7="No",M7="",UPPER(M7)="NA"),0,1)</f>
        <v/>
      </c>
      <c r="O7" s="37">
        <f>IF(H7="No","Out of scope",IF(UPPER(M7)="NA","Not applicable",IF(M7="","Not assessed",IF(M7&gt;=4,"Compliant",IF(M7&gt;=3,"Substantially compliant",IF(M7&gt;=2,"Partially compliant","Non-compliant"))))))</f>
        <v/>
      </c>
      <c r="P7" s="34">
        <f>IF(N7=0,"",F7*(4-M7))</f>
        <v/>
      </c>
      <c r="Q7" s="37">
        <f>IF(P7="","",IF(P7&gt;=12,"Critical",IF(P7&gt;=8,"High",IF(P7&gt;=4,"Medium",IF(P7&gt;=1,"Low","None")))))</f>
        <v/>
      </c>
      <c r="R7" s="34">
        <f>IF(AND(N7=1,M7&lt;3),1,0)</f>
        <v/>
      </c>
      <c r="S7" s="34">
        <f>IF(N7=0,"",M7*G7)</f>
        <v/>
      </c>
      <c r="T7" s="34">
        <f>IF(N7=0,"",4*G7)</f>
        <v/>
      </c>
      <c r="U7" s="27" t="inlineStr">
        <is>
          <t>Accountability is asserted in the Information Privacy Policy v2.1 and the Head of Legal &amp; Compliance is named as owner. However the policy is silent on the entity's responsibility for processing carried out by processors on its behalf, and the collections subsidiary operates its own dialler and call recording estate without the parent's oversight of that processing.</t>
        </is>
      </c>
      <c r="V7" s="27" t="inlineStr">
        <is>
          <t>WP-010</t>
        </is>
      </c>
      <c r="W7" s="27" t="inlineStr">
        <is>
          <t>Meera Raghunathan, Head of Legal &amp; Compliance</t>
        </is>
      </c>
      <c r="X7" s="27" t="inlineStr"/>
      <c r="Y7" s="33" t="inlineStr">
        <is>
          <t>A Data Fiduciary is responsible for complying with the Act in respect of any processing undertaken by it or on its behalf by a Data Processor, notwithstanding any agreement to the contrary or the Data Principal's failure to carry out their duties.</t>
        </is>
      </c>
      <c r="Z7" s="33" t="inlineStr">
        <is>
          <t>Is there a named, senior accountable owner for DPDPA compliance whose remit expressly extends to processing carried out by processors, with sufficient authority and resourcing to act?</t>
        </is>
      </c>
      <c r="AA7" s="33" t="inlineStr">
        <is>
          <t>Inspect the appointment and remit; enquire of the owner as to authority, budget and escalation path; corroborate with governance minutes.</t>
        </is>
      </c>
      <c r="AB7" s="33" t="inlineStr">
        <is>
          <t>Written appointment recording name, role and remit · Governance forum terms of reference and minutes evidencing oversight · Evidence of resourcing and of escalation to senior management or the board</t>
        </is>
      </c>
      <c r="AC7" s="33" t="inlineStr">
        <is>
          <t>Up to INR 50 crore</t>
        </is>
      </c>
      <c r="AD7" s="35" t="n">
        <v>7</v>
      </c>
      <c r="AE7" s="33" t="inlineStr">
        <is>
          <t>A senior owner is formally appointed with an express remit covering processors, reports periodically to a governance forum or the board, and can evidence decisions actually taken under that authority.</t>
        </is>
      </c>
    </row>
    <row r="8" ht="42" customHeight="1">
      <c r="A8" s="33" t="inlineStr">
        <is>
          <t>GOV-02</t>
        </is>
      </c>
      <c r="B8" s="33" t="inlineStr">
        <is>
          <t>GOV</t>
        </is>
      </c>
      <c r="C8" s="33" t="inlineStr">
        <is>
          <t>Governance, Accountability &amp; Records</t>
        </is>
      </c>
      <c r="D8" s="33" t="inlineStr">
        <is>
          <t>Record of processing activities maintained</t>
        </is>
      </c>
      <c r="E8" s="33" t="inlineStr">
        <is>
          <t>Critical</t>
        </is>
      </c>
      <c r="F8" s="34">
        <f>IF(E8="Critical",4,IF(E8="High",3,IF(E8="Medium",2,1)))</f>
        <v/>
      </c>
      <c r="G8" s="35" t="n">
        <v>1.3</v>
      </c>
      <c r="H8" s="33" t="inlineStr">
        <is>
          <t>Yes</t>
        </is>
      </c>
      <c r="I8" s="33" t="inlineStr">
        <is>
          <t>in scope</t>
        </is>
      </c>
      <c r="J8" s="33" t="inlineStr">
        <is>
          <t>s.6(10), s.8(1), DPDP Act, 2023 (evidential requirement)</t>
        </is>
      </c>
      <c r="K8" s="33" t="inlineStr">
        <is>
          <t>—</t>
        </is>
      </c>
      <c r="L8" s="33" t="inlineStr">
        <is>
          <t>—</t>
        </is>
      </c>
      <c r="M8" s="36" t="n">
        <v>2</v>
      </c>
      <c r="N8" s="34">
        <f>IF(OR(H8="No",M8="",UPPER(M8)="NA"),0,1)</f>
        <v/>
      </c>
      <c r="O8" s="37">
        <f>IF(H8="No","Out of scope",IF(UPPER(M8)="NA","Not applicable",IF(M8="","Not assessed",IF(M8&gt;=4,"Compliant",IF(M8&gt;=3,"Substantially compliant",IF(M8&gt;=2,"Partially compliant","Non-compliant"))))))</f>
        <v/>
      </c>
      <c r="P8" s="34">
        <f>IF(N8=0,"",F8*(4-M8))</f>
        <v/>
      </c>
      <c r="Q8" s="37">
        <f>IF(P8="","",IF(P8&gt;=12,"Critical",IF(P8&gt;=8,"High",IF(P8&gt;=4,"Medium",IF(P8&gt;=1,"Low","None")))))</f>
        <v/>
      </c>
      <c r="R8" s="34">
        <f>IF(AND(N8=1,M8&lt;3),1,0)</f>
        <v/>
      </c>
      <c r="S8" s="34">
        <f>IF(N8=0,"",M8*G8)</f>
        <v/>
      </c>
      <c r="T8" s="34">
        <f>IF(N8=0,"",4*G8)</f>
        <v/>
      </c>
      <c r="U8" s="27" t="inlineStr">
        <is>
          <t>A record of processing activities exists in a spreadsheet covering 61 activities, last updated November 2025. Walkthroughs identified four unrecorded processing activities: Kavach Junior parent supervision, the WhatsApp collections journey, the churn-prediction model in Kavach Analytics, and employee productivity monitoring in the collections function. The record does not capture retention period or recipient for 23 of the 61 entries.</t>
        </is>
      </c>
      <c r="V8" s="27" t="inlineStr">
        <is>
          <t>WP-011</t>
        </is>
      </c>
      <c r="W8" s="27" t="inlineStr">
        <is>
          <t>Meera Raghunathan, Head of Legal &amp; Compliance</t>
        </is>
      </c>
      <c r="X8" s="27" t="inlineStr"/>
      <c r="Y8" s="33" t="inlineStr">
        <is>
          <t>Although the Act does not name a register in terms, the burden of demonstrating consent under section 6(10) and the accountability duty under section 8(1) cannot be discharged without a reliable record of what personal data is processed, for what purpose, on what basis, and with whom it is shared.</t>
        </is>
      </c>
      <c r="Z8" s="33" t="inlineStr">
        <is>
          <t>Is there a complete, current record of processing activities capturing data categories, purposes, lawful basis, retention, recipients, processors and cross-border flows? Is it reconciled to reality rather than maintained as a one-off documentation exercise?</t>
        </is>
      </c>
      <c r="AA8" s="33" t="inlineStr">
        <is>
          <t>Inspect the register; test completeness by selecting two systems not obviously covered and tracing them; test currency against recent product changes.</t>
        </is>
      </c>
      <c r="AB8" s="33" t="inlineStr">
        <is>
          <t>Record of processing activities with the fields above · Evidence of periodic review with dates and reviewer · Reconciliation to a system or application inventory</t>
        </is>
      </c>
      <c r="AC8" s="33" t="inlineStr">
        <is>
          <t>Up to INR 50 crore</t>
        </is>
      </c>
      <c r="AD8" s="35" t="n">
        <v>7</v>
      </c>
      <c r="AE8" s="33" t="inlineStr">
        <is>
          <t>A complete register is reconciled to the application inventory, refreshed on a defined cycle and on material change, and demonstrably drives downstream artefacts such as notices and retention rules.</t>
        </is>
      </c>
    </row>
    <row r="9" ht="42" customHeight="1">
      <c r="A9" s="33" t="inlineStr">
        <is>
          <t>GOV-03</t>
        </is>
      </c>
      <c r="B9" s="33" t="inlineStr">
        <is>
          <t>GOV</t>
        </is>
      </c>
      <c r="C9" s="33" t="inlineStr">
        <is>
          <t>Governance, Accountability &amp; Records</t>
        </is>
      </c>
      <c r="D9" s="33" t="inlineStr">
        <is>
          <t>Publication of DPO or contact person details</t>
        </is>
      </c>
      <c r="E9" s="33" t="inlineStr">
        <is>
          <t>High</t>
        </is>
      </c>
      <c r="F9" s="34">
        <f>IF(E9="Critical",4,IF(E9="High",3,IF(E9="Medium",2,1)))</f>
        <v/>
      </c>
      <c r="G9" s="35" t="n">
        <v>1</v>
      </c>
      <c r="H9" s="33" t="inlineStr">
        <is>
          <t>Yes</t>
        </is>
      </c>
      <c r="I9" s="33" t="inlineStr">
        <is>
          <t>in scope</t>
        </is>
      </c>
      <c r="J9" s="33" t="inlineStr">
        <is>
          <t>s.8(8), DPDP Act, 2023</t>
        </is>
      </c>
      <c r="K9" s="33" t="inlineStr">
        <is>
          <t>[Rules citation to be verified]</t>
        </is>
      </c>
      <c r="L9" s="33" t="inlineStr">
        <is>
          <t>VERIFY_AGAINST_NOTIFIED_RULES</t>
        </is>
      </c>
      <c r="M9" s="36" t="n">
        <v>3</v>
      </c>
      <c r="N9" s="34">
        <f>IF(OR(H9="No",M9="",UPPER(M9)="NA"),0,1)</f>
        <v/>
      </c>
      <c r="O9" s="37">
        <f>IF(H9="No","Out of scope",IF(UPPER(M9)="NA","Not applicable",IF(M9="","Not assessed",IF(M9&gt;=4,"Compliant",IF(M9&gt;=3,"Substantially compliant",IF(M9&gt;=2,"Partially compliant","Non-compliant"))))))</f>
        <v/>
      </c>
      <c r="P9" s="34">
        <f>IF(N9=0,"",F9*(4-M9))</f>
        <v/>
      </c>
      <c r="Q9" s="37">
        <f>IF(P9="","",IF(P9&gt;=12,"Critical",IF(P9&gt;=8,"High",IF(P9&gt;=4,"Medium",IF(P9&gt;=1,"Low","None")))))</f>
        <v/>
      </c>
      <c r="R9" s="34">
        <f>IF(AND(N9=1,M9&lt;3),1,0)</f>
        <v/>
      </c>
      <c r="S9" s="34">
        <f>IF(N9=0,"",M9*G9)</f>
        <v/>
      </c>
      <c r="T9" s="34">
        <f>IF(N9=0,"",4*G9)</f>
        <v/>
      </c>
      <c r="U9" s="27" t="inlineStr">
        <is>
          <t>Contact details for the privacy function are published in the app privacy policy and on the website footer, and the address routes to a monitored mailbox. The published contact is a generic role address rather than the person discharging the function, and the Kavach Junior parent console does not surface the contact at all.</t>
        </is>
      </c>
      <c r="V9" s="27" t="inlineStr">
        <is>
          <t>WP-012</t>
        </is>
      </c>
      <c r="W9" s="27" t="inlineStr">
        <is>
          <t>Meera Raghunathan, Head of Legal &amp; Compliance</t>
        </is>
      </c>
      <c r="X9" s="27" t="inlineStr"/>
      <c r="Y9" s="33" t="inlineStr">
        <is>
          <t>A Data Fiduciary must publish the business contact information of the Data Protection Officer, if applicable, or of a person able to answer on its behalf the questions of a Data Principal about the processing of their personal data.</t>
        </is>
      </c>
      <c r="Z9" s="33" t="inlineStr">
        <is>
          <t>Are contact details published in a place a Data Principal would actually find them, and does a real, monitored channel sit behind them that is capable of answering substantive questions about processing?</t>
        </is>
      </c>
      <c r="AA9" s="33" t="inlineStr">
        <is>
          <t>Inspect the published details on all customer-facing surfaces; re-perform by sending a substantive processing question through the channel and measuring the response.</t>
        </is>
      </c>
      <c r="AB9" s="33" t="inlineStr">
        <is>
          <t>Screenshots of published contact details on website, app and other surfaces · Evidence of channel monitoring and ownership · Sample of substantive questions received and answered</t>
        </is>
      </c>
      <c r="AC9" s="33" t="inlineStr">
        <is>
          <t>Up to INR 50 crore</t>
        </is>
      </c>
      <c r="AD9" s="35" t="n">
        <v>7</v>
      </c>
      <c r="AE9" s="33" t="inlineStr">
        <is>
          <t>Details are prominently and consistently published across all surfaces, the channel is monitored with defined ownership and service levels, and testing shows substantive questions are answered competently.</t>
        </is>
      </c>
    </row>
    <row r="10" ht="42" customHeight="1">
      <c r="A10" s="33" t="inlineStr">
        <is>
          <t>GOV-04</t>
        </is>
      </c>
      <c r="B10" s="33" t="inlineStr">
        <is>
          <t>GOV</t>
        </is>
      </c>
      <c r="C10" s="33" t="inlineStr">
        <is>
          <t>Governance, Accountability &amp; Records</t>
        </is>
      </c>
      <c r="D10" s="33" t="inlineStr">
        <is>
          <t>Board and senior management oversight</t>
        </is>
      </c>
      <c r="E10" s="33" t="inlineStr">
        <is>
          <t>Medium</t>
        </is>
      </c>
      <c r="F10" s="34">
        <f>IF(E10="Critical",4,IF(E10="High",3,IF(E10="Medium",2,1)))</f>
        <v/>
      </c>
      <c r="G10" s="35" t="n">
        <v>1</v>
      </c>
      <c r="H10" s="33" t="inlineStr">
        <is>
          <t>Yes</t>
        </is>
      </c>
      <c r="I10" s="33" t="inlineStr">
        <is>
          <t>in scope</t>
        </is>
      </c>
      <c r="J10" s="33" t="inlineStr">
        <is>
          <t>s.8(1), s.10(2)(a), DPDP Act, 2023</t>
        </is>
      </c>
      <c r="K10" s="33" t="inlineStr">
        <is>
          <t>—</t>
        </is>
      </c>
      <c r="L10" s="33" t="inlineStr">
        <is>
          <t>—</t>
        </is>
      </c>
      <c r="M10" s="36" t="n">
        <v>2</v>
      </c>
      <c r="N10" s="34">
        <f>IF(OR(H10="No",M10="",UPPER(M10)="NA"),0,1)</f>
        <v/>
      </c>
      <c r="O10" s="37">
        <f>IF(H10="No","Out of scope",IF(UPPER(M10)="NA","Not applicable",IF(M10="","Not assessed",IF(M10&gt;=4,"Compliant",IF(M10&gt;=3,"Substantially compliant",IF(M10&gt;=2,"Partially compliant","Non-compliant"))))))</f>
        <v/>
      </c>
      <c r="P10" s="34">
        <f>IF(N10=0,"",F10*(4-M10))</f>
        <v/>
      </c>
      <c r="Q10" s="37">
        <f>IF(P10="","",IF(P10&gt;=12,"Critical",IF(P10&gt;=8,"High",IF(P10&gt;=4,"Medium",IF(P10&gt;=1,"Low","None")))))</f>
        <v/>
      </c>
      <c r="R10" s="34">
        <f>IF(AND(N10=1,M10&lt;3),1,0)</f>
        <v/>
      </c>
      <c r="S10" s="34">
        <f>IF(N10=0,"",M10*G10)</f>
        <v/>
      </c>
      <c r="T10" s="34">
        <f>IF(N10=0,"",4*G10)</f>
        <v/>
      </c>
      <c r="U10" s="27" t="inlineStr">
        <is>
          <t>Privacy is reported to the Risk Management Committee twice yearly as part of a combined information security update. Minutes for the two meetings in the period record no privacy-specific decision, no budget approval and no challenge from members. There is no board-level acceptance of the residual risk arising from the open items in this report.</t>
        </is>
      </c>
      <c r="V10" s="27" t="inlineStr">
        <is>
          <t>WP-013</t>
        </is>
      </c>
      <c r="W10" s="27" t="inlineStr">
        <is>
          <t>Vikram Shetty, Chief Financial Officer</t>
        </is>
      </c>
      <c r="X10" s="27" t="inlineStr"/>
      <c r="Y10" s="33" t="inlineStr">
        <is>
          <t>Accountability under section 8(1) requires oversight proportionate to the risk. For a Significant Data Fiduciary the Data Protection Officer is expressly required to be responsible to the board of directors or similar governing body, which sets the expected standard of engagement.</t>
        </is>
      </c>
      <c r="Z10" s="33" t="inlineStr">
        <is>
          <t>Does the board or an equivalent governing body receive periodic reporting on data protection risk, breaches, rights-request volumes and remediation progress, and is there evidence of it directing action?</t>
        </is>
      </c>
      <c r="AA10" s="33" t="inlineStr">
        <is>
          <t>Inspect minutes and reporting packs for the last four cycles; test whether reported issues were tracked to closure.</t>
        </is>
      </c>
      <c r="AB10" s="33" t="inlineStr">
        <is>
          <t>Board or committee minutes referencing data protection matters · Management information pack showing metrics reported · Evidence of decisions taken and tracked to closure</t>
        </is>
      </c>
      <c r="AC10" s="33" t="inlineStr">
        <is>
          <t>—</t>
        </is>
      </c>
      <c r="AD10" s="35" t="inlineStr"/>
      <c r="AE10" s="33" t="inlineStr">
        <is>
          <t>Periodic reporting on a defined cycle with meaningful metrics, evidenced challenge from the forum, and issues tracked to closure.</t>
        </is>
      </c>
    </row>
    <row r="11" ht="42" customHeight="1">
      <c r="A11" s="33" t="inlineStr">
        <is>
          <t>GOV-05</t>
        </is>
      </c>
      <c r="B11" s="33" t="inlineStr">
        <is>
          <t>GOV</t>
        </is>
      </c>
      <c r="C11" s="33" t="inlineStr">
        <is>
          <t>Governance, Accountability &amp; Records</t>
        </is>
      </c>
      <c r="D11" s="33" t="inlineStr">
        <is>
          <t>Policies, standards and internal procedures</t>
        </is>
      </c>
      <c r="E11" s="33" t="inlineStr">
        <is>
          <t>Medium</t>
        </is>
      </c>
      <c r="F11" s="34">
        <f>IF(E11="Critical",4,IF(E11="High",3,IF(E11="Medium",2,1)))</f>
        <v/>
      </c>
      <c r="G11" s="35" t="n">
        <v>1</v>
      </c>
      <c r="H11" s="33" t="inlineStr">
        <is>
          <t>Yes</t>
        </is>
      </c>
      <c r="I11" s="33" t="inlineStr">
        <is>
          <t>in scope</t>
        </is>
      </c>
      <c r="J11" s="33" t="inlineStr">
        <is>
          <t>s.8(4), DPDP Act, 2023</t>
        </is>
      </c>
      <c r="K11" s="33" t="inlineStr">
        <is>
          <t>—</t>
        </is>
      </c>
      <c r="L11" s="33" t="inlineStr">
        <is>
          <t>—</t>
        </is>
      </c>
      <c r="M11" s="36" t="n">
        <v>3</v>
      </c>
      <c r="N11" s="34">
        <f>IF(OR(H11="No",M11="",UPPER(M11)="NA"),0,1)</f>
        <v/>
      </c>
      <c r="O11" s="37">
        <f>IF(H11="No","Out of scope",IF(UPPER(M11)="NA","Not applicable",IF(M11="","Not assessed",IF(M11&gt;=4,"Compliant",IF(M11&gt;=3,"Substantially compliant",IF(M11&gt;=2,"Partially compliant","Non-compliant"))))))</f>
        <v/>
      </c>
      <c r="P11" s="34">
        <f>IF(N11=0,"",F11*(4-M11))</f>
        <v/>
      </c>
      <c r="Q11" s="37">
        <f>IF(P11="","",IF(P11&gt;=12,"Critical",IF(P11&gt;=8,"High",IF(P11&gt;=4,"Medium",IF(P11&gt;=1,"Low","None")))))</f>
        <v/>
      </c>
      <c r="R11" s="34">
        <f>IF(AND(N11=1,M11&lt;3),1,0)</f>
        <v/>
      </c>
      <c r="S11" s="34">
        <f>IF(N11=0,"",M11*G11)</f>
        <v/>
      </c>
      <c r="T11" s="34">
        <f>IF(N11=0,"",4*G11)</f>
        <v/>
      </c>
      <c r="U11" s="27" t="inlineStr">
        <is>
          <t>A policy set comprising an Information Privacy Policy, Data Classification Standard, Retention Standard and Third Party Standard is approved and accessible on the intranet. The Retention Standard is dated 2023 and predates both the Kavach Junior product and the current warehouse architecture, and the Third Party Standard does not address the s.8(2) contract requirement.</t>
        </is>
      </c>
      <c r="V11" s="27" t="inlineStr">
        <is>
          <t>WP-014</t>
        </is>
      </c>
      <c r="W11" s="27" t="inlineStr">
        <is>
          <t>Meera Raghunathan, Head of Legal &amp; Compliance</t>
        </is>
      </c>
      <c r="X11" s="27" t="inlineStr"/>
      <c r="Y11" s="33" t="inlineStr">
        <is>
          <t>Appropriate technical and organisational measures under section 8(4) include the documented policies and procedures by which the entity gives effect to its obligations.</t>
        </is>
      </c>
      <c r="Z11" s="33" t="inlineStr">
        <is>
          <t>Is there an approved policy set covering notice, consent, rights handling, retention, breach response, vendor management and children's data, mapped to the Act, version-controlled and actually reflected in operational procedure?</t>
        </is>
      </c>
      <c r="AA11" s="33" t="inlineStr">
        <is>
          <t>Inspect the policy set and approval records; test one policy against the operational procedure and system behaviour it purports to govern.</t>
        </is>
      </c>
      <c r="AB11" s="33" t="inlineStr">
        <is>
          <t>Approved policy set with version history and approver · Mapping of policies to Act provisions · Operational procedures or runbooks referenced by the policies</t>
        </is>
      </c>
      <c r="AC11" s="33" t="inlineStr">
        <is>
          <t>Up to INR 50 crore</t>
        </is>
      </c>
      <c r="AD11" s="35" t="n">
        <v>7</v>
      </c>
      <c r="AE11" s="33" t="inlineStr">
        <is>
          <t>An approved, version-controlled, Act-mapped policy set is in force, supported by operational runbooks, and testing confirms practice follows the documented procedure.</t>
        </is>
      </c>
    </row>
    <row r="12" ht="42" customHeight="1">
      <c r="A12" s="33" t="inlineStr">
        <is>
          <t>GOV-06</t>
        </is>
      </c>
      <c r="B12" s="33" t="inlineStr">
        <is>
          <t>GOV</t>
        </is>
      </c>
      <c r="C12" s="33" t="inlineStr">
        <is>
          <t>Governance, Accountability &amp; Records</t>
        </is>
      </c>
      <c r="D12" s="33" t="inlineStr">
        <is>
          <t>Training and awareness</t>
        </is>
      </c>
      <c r="E12" s="33" t="inlineStr">
        <is>
          <t>Medium</t>
        </is>
      </c>
      <c r="F12" s="34">
        <f>IF(E12="Critical",4,IF(E12="High",3,IF(E12="Medium",2,1)))</f>
        <v/>
      </c>
      <c r="G12" s="35" t="n">
        <v>0.9</v>
      </c>
      <c r="H12" s="33" t="inlineStr">
        <is>
          <t>Yes</t>
        </is>
      </c>
      <c r="I12" s="33" t="inlineStr">
        <is>
          <t>in scope</t>
        </is>
      </c>
      <c r="J12" s="33" t="inlineStr">
        <is>
          <t>s.8(4), DPDP Act, 2023</t>
        </is>
      </c>
      <c r="K12" s="33" t="inlineStr">
        <is>
          <t>—</t>
        </is>
      </c>
      <c r="L12" s="33" t="inlineStr">
        <is>
          <t>—</t>
        </is>
      </c>
      <c r="M12" s="36" t="n">
        <v>2</v>
      </c>
      <c r="N12" s="34">
        <f>IF(OR(H12="No",M12="",UPPER(M12)="NA"),0,1)</f>
        <v/>
      </c>
      <c r="O12" s="37">
        <f>IF(H12="No","Out of scope",IF(UPPER(M12)="NA","Not applicable",IF(M12="","Not assessed",IF(M12&gt;=4,"Compliant",IF(M12&gt;=3,"Substantially compliant",IF(M12&gt;=2,"Partially compliant","Non-compliant"))))))</f>
        <v/>
      </c>
      <c r="P12" s="34">
        <f>IF(N12=0,"",F12*(4-M12))</f>
        <v/>
      </c>
      <c r="Q12" s="37">
        <f>IF(P12="","",IF(P12&gt;=12,"Critical",IF(P12&gt;=8,"High",IF(P12&gt;=4,"Medium",IF(P12&gt;=1,"Low","None")))))</f>
        <v/>
      </c>
      <c r="R12" s="34">
        <f>IF(AND(N12=1,M12&lt;3),1,0)</f>
        <v/>
      </c>
      <c r="S12" s="34">
        <f>IF(N12=0,"",M12*G12)</f>
        <v/>
      </c>
      <c r="T12" s="34">
        <f>IF(N12=0,"",4*G12)</f>
        <v/>
      </c>
      <c r="U12" s="27" t="inlineStr">
        <is>
          <t>Annual information security training is mandatory and completion stands at 94 per cent. Privacy content within it runs to four slides and does not address consent, rights handling or the children's provisions. No role-specific training has been delivered to the engineering, marketing or collections teams whose decisions determine compliance in practice.</t>
        </is>
      </c>
      <c r="V12" s="27" t="inlineStr">
        <is>
          <t>WP-015</t>
        </is>
      </c>
      <c r="W12" s="27" t="inlineStr">
        <is>
          <t>Sneha Kulkarni, Head of People</t>
        </is>
      </c>
      <c r="X12" s="27" t="inlineStr"/>
      <c r="Y12" s="33" t="inlineStr">
        <is>
          <t>Organisational measures under section 8(4) extend to ensuring that personnel handling personal data understand their obligations, particularly those operating consent, rights and breach processes.</t>
        </is>
      </c>
      <c r="Z12" s="33" t="inlineStr">
        <is>
          <t>Have personnel in roles that touch personal data received DPDPA-specific training, with role-tailored content for high-risk functions such as support, marketing, engineering and procurement, and is completion tracked?</t>
        </is>
      </c>
      <c r="AA12" s="33" t="inlineStr">
        <is>
          <t>Inspect training content and completion records; enquire of a sample of staff in high-risk roles to test practical understanding.</t>
        </is>
      </c>
      <c r="AB12" s="33" t="inlineStr">
        <is>
          <t>Training material specific to the Act, not generic privacy content · Completion records by role with dates · Role-specific modules for support, marketing, engineering and procurement</t>
        </is>
      </c>
      <c r="AC12" s="33" t="inlineStr">
        <is>
          <t>—</t>
        </is>
      </c>
      <c r="AD12" s="35" t="inlineStr"/>
      <c r="AE12" s="33" t="inlineStr">
        <is>
          <t>Act-specific training is delivered to all relevant personnel with role-tailored modules for high-risk functions, completion is tracked and enforced, and sample enquiry confirms practical understanding.</t>
        </is>
      </c>
    </row>
    <row r="13" ht="42" customHeight="1">
      <c r="A13" s="33" t="inlineStr">
        <is>
          <t>GOV-07</t>
        </is>
      </c>
      <c r="B13" s="33" t="inlineStr">
        <is>
          <t>GOV</t>
        </is>
      </c>
      <c r="C13" s="33" t="inlineStr">
        <is>
          <t>Governance, Accountability &amp; Records</t>
        </is>
      </c>
      <c r="D13" s="33" t="inlineStr">
        <is>
          <t>Evidence retention for demonstrating compliance</t>
        </is>
      </c>
      <c r="E13" s="33" t="inlineStr">
        <is>
          <t>Critical</t>
        </is>
      </c>
      <c r="F13" s="34">
        <f>IF(E13="Critical",4,IF(E13="High",3,IF(E13="Medium",2,1)))</f>
        <v/>
      </c>
      <c r="G13" s="35" t="n">
        <v>1.2</v>
      </c>
      <c r="H13" s="33" t="inlineStr">
        <is>
          <t>Yes</t>
        </is>
      </c>
      <c r="I13" s="33" t="inlineStr">
        <is>
          <t>in scope</t>
        </is>
      </c>
      <c r="J13" s="33" t="inlineStr">
        <is>
          <t>s.6(10), DPDP Act, 2023</t>
        </is>
      </c>
      <c r="K13" s="33" t="inlineStr">
        <is>
          <t>—</t>
        </is>
      </c>
      <c r="L13" s="33" t="inlineStr">
        <is>
          <t>—</t>
        </is>
      </c>
      <c r="M13" s="36" t="n">
        <v>1</v>
      </c>
      <c r="N13" s="34">
        <f>IF(OR(H13="No",M13="",UPPER(M13)="NA"),0,1)</f>
        <v/>
      </c>
      <c r="O13" s="37">
        <f>IF(H13="No","Out of scope",IF(UPPER(M13)="NA","Not applicable",IF(M13="","Not assessed",IF(M13&gt;=4,"Compliant",IF(M13&gt;=3,"Substantially compliant",IF(M13&gt;=2,"Partially compliant","Non-compliant"))))))</f>
        <v/>
      </c>
      <c r="P13" s="34">
        <f>IF(N13=0,"",F13*(4-M13))</f>
        <v/>
      </c>
      <c r="Q13" s="37">
        <f>IF(P13="","",IF(P13&gt;=12,"Critical",IF(P13&gt;=8,"High",IF(P13&gt;=4,"Medium",IF(P13&gt;=1,"Low","None")))))</f>
        <v/>
      </c>
      <c r="R13" s="34">
        <f>IF(AND(N13=1,M13&lt;3),1,0)</f>
        <v/>
      </c>
      <c r="S13" s="34">
        <f>IF(N13=0,"",M13*G13)</f>
        <v/>
      </c>
      <c r="T13" s="34">
        <f>IF(N13=0,"",4*G13)</f>
        <v/>
      </c>
      <c r="U13" s="27" t="inlineStr">
        <is>
          <t>Evidence of compliance is not systematically retained. Consent artefacts are held only in the current state of the consent table with no immutable history, notice versions are not archived, and rights request correspondence is held in agent mailboxes. The entity could not reconstruct, for a Data Principal who consented in March 2025, what notice they were shown. This directly undermines the ability to discharge the burden of proof the Act places on the Data Fiduciary.</t>
        </is>
      </c>
      <c r="V13" s="27" t="inlineStr">
        <is>
          <t>WP-016</t>
        </is>
      </c>
      <c r="W13" s="27" t="inlineStr">
        <is>
          <t>Devika Iyer, VP Engineering</t>
        </is>
      </c>
      <c r="X13" s="27" t="inlineStr"/>
      <c r="Y13" s="33" t="inlineStr">
        <is>
          <t>Where consent is relied upon, the Data Fiduciary bears the burden of proving that notice was given and consent was obtained in accordance with the Act. This requires retention of the underlying artefacts, not merely of the current policy.</t>
        </is>
      </c>
      <c r="Z13" s="33" t="inlineStr">
        <is>
          <t>Can the entity produce, for a Data Principal selected at random, the notice text as presented at the time, the consent artefact, and the processing history — or can it only produce today's policy?</t>
        </is>
      </c>
      <c r="AA13" s="33" t="inlineStr">
        <is>
          <t>Re-perform: select two Data Principals at random and require production of the historical notice version, consent artefact and processing record.</t>
        </is>
      </c>
      <c r="AB13" s="33" t="inlineStr">
        <is>
          <t>Versioned archive of notice and consent text with effective dates · Consent artefacts retrievable per Data Principal · Documented evidence retention period aligned to limitation and inquiry risk</t>
        </is>
      </c>
      <c r="AC13" s="33" t="inlineStr">
        <is>
          <t>Up to INR 50 crore</t>
        </is>
      </c>
      <c r="AD13" s="35" t="n">
        <v>7</v>
      </c>
      <c r="AE13" s="33" t="inlineStr">
        <is>
          <t>Notice versions and consent artefacts are archived and jointly retrievable per Data Principal, and testing confirms the entity can reconstruct precisely what was presented and agreed to, and when.</t>
        </is>
      </c>
    </row>
    <row r="14" ht="42" customHeight="1">
      <c r="A14" s="33" t="inlineStr">
        <is>
          <t>PUR-01</t>
        </is>
      </c>
      <c r="B14" s="33" t="inlineStr">
        <is>
          <t>PUR</t>
        </is>
      </c>
      <c r="C14" s="33" t="inlineStr">
        <is>
          <t>Lawful Purpose, Minimisation &amp; Accuracy</t>
        </is>
      </c>
      <c r="D14" s="33" t="inlineStr">
        <is>
          <t>Every processing activity has an identified lawful basis</t>
        </is>
      </c>
      <c r="E14" s="33" t="inlineStr">
        <is>
          <t>Critical</t>
        </is>
      </c>
      <c r="F14" s="34">
        <f>IF(E14="Critical",4,IF(E14="High",3,IF(E14="Medium",2,1)))</f>
        <v/>
      </c>
      <c r="G14" s="35" t="n">
        <v>1.3</v>
      </c>
      <c r="H14" s="33" t="inlineStr">
        <is>
          <t>Yes</t>
        </is>
      </c>
      <c r="I14" s="33" t="inlineStr">
        <is>
          <t>in scope</t>
        </is>
      </c>
      <c r="J14" s="33" t="inlineStr">
        <is>
          <t>s.4(1), s.4(2), DPDP Act, 2023</t>
        </is>
      </c>
      <c r="K14" s="33" t="inlineStr">
        <is>
          <t>—</t>
        </is>
      </c>
      <c r="L14" s="33" t="inlineStr">
        <is>
          <t>—</t>
        </is>
      </c>
      <c r="M14" s="36" t="n">
        <v>2</v>
      </c>
      <c r="N14" s="34">
        <f>IF(OR(H14="No",M14="",UPPER(M14)="NA"),0,1)</f>
        <v/>
      </c>
      <c r="O14" s="37">
        <f>IF(H14="No","Out of scope",IF(UPPER(M14)="NA","Not applicable",IF(M14="","Not assessed",IF(M14&gt;=4,"Compliant",IF(M14&gt;=3,"Substantially compliant",IF(M14&gt;=2,"Partially compliant","Non-compliant"))))))</f>
        <v/>
      </c>
      <c r="P14" s="34">
        <f>IF(N14=0,"",F14*(4-M14))</f>
        <v/>
      </c>
      <c r="Q14" s="37">
        <f>IF(P14="","",IF(P14&gt;=12,"Critical",IF(P14&gt;=8,"High",IF(P14&gt;=4,"Medium",IF(P14&gt;=1,"Low","None")))))</f>
        <v/>
      </c>
      <c r="R14" s="34">
        <f>IF(AND(N14=1,M14&lt;3),1,0)</f>
        <v/>
      </c>
      <c r="S14" s="34">
        <f>IF(N14=0,"",M14*G14)</f>
        <v/>
      </c>
      <c r="T14" s="34">
        <f>IF(N14=0,"",4*G14)</f>
        <v/>
      </c>
      <c r="U14" s="27" t="inlineStr">
        <is>
          <t>A lawful basis is documented for the lending and payments journeys. Four activities have no identified basis: the churn model, marketing enrichment from a third-party data broker, call recording in collections, and the employee monitoring noted at GOV-02. Management's position that these fall within 'legitimate business interest' has no counterpart in the Act, which provides a closed list of legitimate uses.</t>
        </is>
      </c>
      <c r="V14" s="27" t="inlineStr">
        <is>
          <t>WP-020</t>
        </is>
      </c>
      <c r="W14" s="27" t="inlineStr">
        <is>
          <t>Meera Raghunathan, Head of Legal &amp; Compliance</t>
        </is>
      </c>
      <c r="X14" s="27" t="inlineStr"/>
      <c r="Y14" s="33" t="inlineStr">
        <is>
          <t>Personal data may be processed only for a lawful purpose for which the Data Principal has given consent, or for a certain legitimate use. A lawful purpose is one not expressly forbidden by law.</t>
        </is>
      </c>
      <c r="Z14" s="33" t="inlineStr">
        <is>
          <t>Is a specific lawful basis — consent or a named section 7 legitimate use — recorded for every processing activity in the register, with no activity left unmapped or resting on a basis that does not exist under the Act?</t>
        </is>
      </c>
      <c r="AA14" s="33" t="inlineStr">
        <is>
          <t>Inspect basis mapping for completeness; re-perform the determination for a sample of five activities, including at least one marketing and one analytics use.</t>
        </is>
      </c>
      <c r="AB14" s="33" t="inlineStr">
        <is>
          <t>Lawful basis recorded per activity in the processing register · Reasoning for each legitimate use relied upon, citing the specific limb · Evidence that no activity relies on a ground absent from the Act</t>
        </is>
      </c>
      <c r="AC14" s="33" t="inlineStr">
        <is>
          <t>Up to INR 50 crore</t>
        </is>
      </c>
      <c r="AD14" s="35" t="n">
        <v>7</v>
      </c>
      <c r="AE14" s="33" t="inlineStr">
        <is>
          <t>Every activity carries a specific, documented and defensible basis citing the exact provision, reviewed on change, with no reliance on grounds the Act does not contain.</t>
        </is>
      </c>
    </row>
    <row r="15" ht="42" customHeight="1">
      <c r="A15" s="33" t="inlineStr">
        <is>
          <t>PUR-02</t>
        </is>
      </c>
      <c r="B15" s="33" t="inlineStr">
        <is>
          <t>PUR</t>
        </is>
      </c>
      <c r="C15" s="33" t="inlineStr">
        <is>
          <t>Lawful Purpose, Minimisation &amp; Accuracy</t>
        </is>
      </c>
      <c r="D15" s="33" t="inlineStr">
        <is>
          <t>Data minimisation — collection limited to what is necessary</t>
        </is>
      </c>
      <c r="E15" s="33" t="inlineStr">
        <is>
          <t>High</t>
        </is>
      </c>
      <c r="F15" s="34">
        <f>IF(E15="Critical",4,IF(E15="High",3,IF(E15="Medium",2,1)))</f>
        <v/>
      </c>
      <c r="G15" s="35" t="n">
        <v>1.2</v>
      </c>
      <c r="H15" s="33" t="inlineStr">
        <is>
          <t>Yes</t>
        </is>
      </c>
      <c r="I15" s="33" t="inlineStr">
        <is>
          <t>in scope</t>
        </is>
      </c>
      <c r="J15" s="33" t="inlineStr">
        <is>
          <t>s.6(1), s.6(2), DPDP Act, 2023</t>
        </is>
      </c>
      <c r="K15" s="33" t="inlineStr">
        <is>
          <t>—</t>
        </is>
      </c>
      <c r="L15" s="33" t="inlineStr">
        <is>
          <t>—</t>
        </is>
      </c>
      <c r="M15" s="36" t="n">
        <v>2</v>
      </c>
      <c r="N15" s="34">
        <f>IF(OR(H15="No",M15="",UPPER(M15)="NA"),0,1)</f>
        <v/>
      </c>
      <c r="O15" s="37">
        <f>IF(H15="No","Out of scope",IF(UPPER(M15)="NA","Not applicable",IF(M15="","Not assessed",IF(M15&gt;=4,"Compliant",IF(M15&gt;=3,"Substantially compliant",IF(M15&gt;=2,"Partially compliant","Non-compliant"))))))</f>
        <v/>
      </c>
      <c r="P15" s="34">
        <f>IF(N15=0,"",F15*(4-M15))</f>
        <v/>
      </c>
      <c r="Q15" s="37">
        <f>IF(P15="","",IF(P15&gt;=12,"Critical",IF(P15&gt;=8,"High",IF(P15&gt;=4,"Medium",IF(P15&gt;=1,"Low","None")))))</f>
        <v/>
      </c>
      <c r="R15" s="34">
        <f>IF(AND(N15=1,M15&lt;3),1,0)</f>
        <v/>
      </c>
      <c r="S15" s="34">
        <f>IF(N15=0,"",M15*G15)</f>
        <v/>
      </c>
      <c r="T15" s="34">
        <f>IF(N15=0,"",4*G15)</f>
        <v/>
      </c>
      <c r="U15" s="27" t="inlineStr">
        <is>
          <t>The onboarding journey collects marital status, education level and employer address for all applicants irrespective of product. Product management confirmed these fields are used only for a subset of underwriting models and could not evidence necessity for the payments-only journey, which represents roughly 60 per cent of registrations.</t>
        </is>
      </c>
      <c r="V15" s="27" t="inlineStr">
        <is>
          <t>WP-021</t>
        </is>
      </c>
      <c r="W15" s="27" t="inlineStr">
        <is>
          <t>Rohit Menon, Head of Product</t>
        </is>
      </c>
      <c r="X15" s="27" t="inlineStr"/>
      <c r="Y15" s="33" t="inlineStr">
        <is>
          <t>Consent signifies agreement to processing of only such personal data as is necessary for the specified purpose, and any part of consent that purports to extend beyond that is invalid to that extent.</t>
        </is>
      </c>
      <c r="Z15" s="33" t="inlineStr">
        <is>
          <t>For each collection point, is every field necessary for the stated purpose? Are optional fields distinguished from mandatory ones, and has any field been challenged and removed as a result of review?</t>
        </is>
      </c>
      <c r="AA15" s="33" t="inlineStr">
        <is>
          <t>Inspect a sample of collection forms and API payloads field by field against stated purposes; test whether mandatory fields are genuinely necessary.</t>
        </is>
      </c>
      <c r="AB15" s="33" t="inlineStr">
        <is>
          <t>Field-level necessity analysis for principal collection points · Distinction between mandatory and optional fields in the interface · Change records showing fields removed following review</t>
        </is>
      </c>
      <c r="AC15" s="33" t="inlineStr">
        <is>
          <t>Up to INR 50 crore</t>
        </is>
      </c>
      <c r="AD15" s="35" t="n">
        <v>7</v>
      </c>
      <c r="AE15" s="33" t="inlineStr">
        <is>
          <t>Field-level necessity is documented and periodically re-tested, optional fields are clearly distinguished, and there is evidence of fields having actually been removed as unnecessary.</t>
        </is>
      </c>
    </row>
    <row r="16" ht="42" customHeight="1">
      <c r="A16" s="33" t="inlineStr">
        <is>
          <t>PUR-03</t>
        </is>
      </c>
      <c r="B16" s="33" t="inlineStr">
        <is>
          <t>PUR</t>
        </is>
      </c>
      <c r="C16" s="33" t="inlineStr">
        <is>
          <t>Lawful Purpose, Minimisation &amp; Accuracy</t>
        </is>
      </c>
      <c r="D16" s="33" t="inlineStr">
        <is>
          <t>Purpose limitation — no undisclosed secondary use</t>
        </is>
      </c>
      <c r="E16" s="33" t="inlineStr">
        <is>
          <t>High</t>
        </is>
      </c>
      <c r="F16" s="34">
        <f>IF(E16="Critical",4,IF(E16="High",3,IF(E16="Medium",2,1)))</f>
        <v/>
      </c>
      <c r="G16" s="35" t="n">
        <v>1.2</v>
      </c>
      <c r="H16" s="33" t="inlineStr">
        <is>
          <t>Yes</t>
        </is>
      </c>
      <c r="I16" s="33" t="inlineStr">
        <is>
          <t>in scope</t>
        </is>
      </c>
      <c r="J16" s="33" t="inlineStr">
        <is>
          <t>s.4(1), s.5(1), s.6(1), DPDP Act, 2023</t>
        </is>
      </c>
      <c r="K16" s="33" t="inlineStr">
        <is>
          <t>—</t>
        </is>
      </c>
      <c r="L16" s="33" t="inlineStr">
        <is>
          <t>—</t>
        </is>
      </c>
      <c r="M16" s="36" t="n">
        <v>1</v>
      </c>
      <c r="N16" s="34">
        <f>IF(OR(H16="No",M16="",UPPER(M16)="NA"),0,1)</f>
        <v/>
      </c>
      <c r="O16" s="37">
        <f>IF(H16="No","Out of scope",IF(UPPER(M16)="NA","Not applicable",IF(M16="","Not assessed",IF(M16&gt;=4,"Compliant",IF(M16&gt;=3,"Substantially compliant",IF(M16&gt;=2,"Partially compliant","Non-compliant"))))))</f>
        <v/>
      </c>
      <c r="P16" s="34">
        <f>IF(N16=0,"",F16*(4-M16))</f>
        <v/>
      </c>
      <c r="Q16" s="37">
        <f>IF(P16="","",IF(P16&gt;=12,"Critical",IF(P16&gt;=8,"High",IF(P16&gt;=4,"Medium",IF(P16&gt;=1,"Low","None")))))</f>
        <v/>
      </c>
      <c r="R16" s="34">
        <f>IF(AND(N16=1,M16&lt;3),1,0)</f>
        <v/>
      </c>
      <c r="S16" s="34">
        <f>IF(N16=0,"",M16*G16)</f>
        <v/>
      </c>
      <c r="T16" s="34">
        <f>IF(N16=0,"",4*G16)</f>
        <v/>
      </c>
      <c r="U16" s="27" t="inlineStr">
        <is>
          <t>Transaction data collected for payments processing is used to build propensity segments that are pushed to Meta and Google for acquisition campaigns. The notice presented at registration does not disclose advertising as a purpose. This is undisclosed secondary use of data obtained for a different specified purpose.</t>
        </is>
      </c>
      <c r="V16" s="27" t="inlineStr">
        <is>
          <t>WP-022</t>
        </is>
      </c>
      <c r="W16" s="27" t="inlineStr">
        <is>
          <t>Rohit Menon, Head of Product</t>
        </is>
      </c>
      <c r="X16" s="27" t="inlineStr"/>
      <c r="Y16" s="33" t="inlineStr">
        <is>
          <t>Processing must be for the specified purpose for which consent was given. Personal data may not be repurposed for materially different uses without a fresh lawful basis.</t>
        </is>
      </c>
      <c r="Z16" s="33" t="inlineStr">
        <is>
          <t>Are there controls preventing personal data collected for one purpose being used for another — particularly transaction data flowing into marketing, or customer data into model training — and is a fresh basis obtained where the purpose is materially new?</t>
        </is>
      </c>
      <c r="AA16" s="33" t="inlineStr">
        <is>
          <t>Inspect data flows from primary systems into analytics, marketing and machine-learning environments; test each against the notice given at collection.</t>
        </is>
      </c>
      <c r="AB16" s="33" t="inlineStr">
        <is>
          <t>Data flow documentation from collection into secondary environments · Purpose-compatibility assessments for secondary uses · Evidence of fresh notice and consent where purposes were materially extended</t>
        </is>
      </c>
      <c r="AC16" s="33" t="inlineStr">
        <is>
          <t>Up to INR 50 crore</t>
        </is>
      </c>
      <c r="AD16" s="35" t="n">
        <v>7</v>
      </c>
      <c r="AE16" s="33" t="inlineStr">
        <is>
          <t>Secondary use is gated by documented compatibility assessment, technically constrained where possible, and fresh notice and consent are obtained for materially new purposes with evidence of the gate having been enforced.</t>
        </is>
      </c>
    </row>
    <row r="17" ht="42" customHeight="1">
      <c r="A17" s="33" t="inlineStr">
        <is>
          <t>PUR-04</t>
        </is>
      </c>
      <c r="B17" s="33" t="inlineStr">
        <is>
          <t>PUR</t>
        </is>
      </c>
      <c r="C17" s="33" t="inlineStr">
        <is>
          <t>Lawful Purpose, Minimisation &amp; Accuracy</t>
        </is>
      </c>
      <c r="D17" s="33" t="inlineStr">
        <is>
          <t>Accuracy and completeness where data drives decisions or is shared</t>
        </is>
      </c>
      <c r="E17" s="33" t="inlineStr">
        <is>
          <t>High</t>
        </is>
      </c>
      <c r="F17" s="34">
        <f>IF(E17="Critical",4,IF(E17="High",3,IF(E17="Medium",2,1)))</f>
        <v/>
      </c>
      <c r="G17" s="35" t="n">
        <v>1.1</v>
      </c>
      <c r="H17" s="33" t="inlineStr">
        <is>
          <t>Yes</t>
        </is>
      </c>
      <c r="I17" s="33" t="inlineStr">
        <is>
          <t>in scope</t>
        </is>
      </c>
      <c r="J17" s="33" t="inlineStr">
        <is>
          <t>s.8(3), DPDP Act, 2023</t>
        </is>
      </c>
      <c r="K17" s="33" t="inlineStr">
        <is>
          <t>—</t>
        </is>
      </c>
      <c r="L17" s="33" t="inlineStr">
        <is>
          <t>—</t>
        </is>
      </c>
      <c r="M17" s="36" t="n">
        <v>3</v>
      </c>
      <c r="N17" s="34">
        <f>IF(OR(H17="No",M17="",UPPER(M17)="NA"),0,1)</f>
        <v/>
      </c>
      <c r="O17" s="37">
        <f>IF(H17="No","Out of scope",IF(UPPER(M17)="NA","Not applicable",IF(M17="","Not assessed",IF(M17&gt;=4,"Compliant",IF(M17&gt;=3,"Substantially compliant",IF(M17&gt;=2,"Partially compliant","Non-compliant"))))))</f>
        <v/>
      </c>
      <c r="P17" s="34">
        <f>IF(N17=0,"",F17*(4-M17))</f>
        <v/>
      </c>
      <c r="Q17" s="37">
        <f>IF(P17="","",IF(P17&gt;=12,"Critical",IF(P17&gt;=8,"High",IF(P17&gt;=4,"Medium",IF(P17&gt;=1,"Low","None")))))</f>
        <v/>
      </c>
      <c r="R17" s="34">
        <f>IF(AND(N17=1,M17&lt;3),1,0)</f>
        <v/>
      </c>
      <c r="S17" s="34">
        <f>IF(N17=0,"",M17*G17)</f>
        <v/>
      </c>
      <c r="T17" s="34">
        <f>IF(N17=0,"",4*G17)</f>
        <v/>
      </c>
      <c r="U17" s="27" t="inlineStr">
        <is>
          <t>Bureau and KYC data feeding underwriting is refreshed at decision time and a correction workflow exists in Kavach CRM. Corrections applied in CRM do not propagate to the Snowflake warehouse, so models and collections lists may run on superseded data for up to 30 days.</t>
        </is>
      </c>
      <c r="V17" s="27" t="inlineStr">
        <is>
          <t>WP-023</t>
        </is>
      </c>
      <c r="W17" s="27" t="inlineStr">
        <is>
          <t>Devika Iyer, VP Engineering</t>
        </is>
      </c>
      <c r="X17" s="27" t="inlineStr"/>
      <c r="Y17" s="33" t="inlineStr">
        <is>
          <t>Where personal data is likely to be used to make a decision affecting the Data Principal, or is likely to be disclosed to another Data Fiduciary, the Data Fiduciary must ensure it is complete, accurate and consistent.</t>
        </is>
      </c>
      <c r="Z17" s="33" t="inlineStr">
        <is>
          <t>Has the entity identified which processing produces decisions affecting Data Principals or involves disclosure onward, and what controls assure accuracy, completeness and consistency in those specific flows?</t>
        </is>
      </c>
      <c r="AA17" s="33" t="inlineStr">
        <is>
          <t>Inspect the inventory of decisioning and disclosure flows; test accuracy controls including validation, reconciliation and correction propagation in a sample flow.</t>
        </is>
      </c>
      <c r="AB17" s="33" t="inlineStr">
        <is>
          <t>Inventory of decision-making and onward-disclosure flows · Data quality controls: validation rules, reconciliation, exception handling · Evidence that corrections propagate to downstream recipients and decisions</t>
        </is>
      </c>
      <c r="AC17" s="33" t="inlineStr">
        <is>
          <t>Up to INR 50 crore</t>
        </is>
      </c>
      <c r="AD17" s="35" t="n">
        <v>7</v>
      </c>
      <c r="AE17" s="33" t="inlineStr">
        <is>
          <t>Decisioning and disclosure flows are inventoried, subject to defined accuracy and consistency controls, and corrections demonstrably propagate downstream with evidence of exception handling.</t>
        </is>
      </c>
    </row>
    <row r="18" ht="42" customHeight="1">
      <c r="A18" s="33" t="inlineStr">
        <is>
          <t>PUR-05</t>
        </is>
      </c>
      <c r="B18" s="33" t="inlineStr">
        <is>
          <t>PUR</t>
        </is>
      </c>
      <c r="C18" s="33" t="inlineStr">
        <is>
          <t>Lawful Purpose, Minimisation &amp; Accuracy</t>
        </is>
      </c>
      <c r="D18" s="33" t="inlineStr">
        <is>
          <t>Privacy considered at design stage for new processing</t>
        </is>
      </c>
      <c r="E18" s="33" t="inlineStr">
        <is>
          <t>Medium</t>
        </is>
      </c>
      <c r="F18" s="34">
        <f>IF(E18="Critical",4,IF(E18="High",3,IF(E18="Medium",2,1)))</f>
        <v/>
      </c>
      <c r="G18" s="35" t="n">
        <v>1</v>
      </c>
      <c r="H18" s="33" t="inlineStr">
        <is>
          <t>Yes</t>
        </is>
      </c>
      <c r="I18" s="33" t="inlineStr">
        <is>
          <t>in scope</t>
        </is>
      </c>
      <c r="J18" s="33" t="inlineStr">
        <is>
          <t>s.8(4), DPDP Act, 2023</t>
        </is>
      </c>
      <c r="K18" s="33" t="inlineStr">
        <is>
          <t>—</t>
        </is>
      </c>
      <c r="L18" s="33" t="inlineStr">
        <is>
          <t>—</t>
        </is>
      </c>
      <c r="M18" s="36" t="n">
        <v>2</v>
      </c>
      <c r="N18" s="34">
        <f>IF(OR(H18="No",M18="",UPPER(M18)="NA"),0,1)</f>
        <v/>
      </c>
      <c r="O18" s="37">
        <f>IF(H18="No","Out of scope",IF(UPPER(M18)="NA","Not applicable",IF(M18="","Not assessed",IF(M18&gt;=4,"Compliant",IF(M18&gt;=3,"Substantially compliant",IF(M18&gt;=2,"Partially compliant","Non-compliant"))))))</f>
        <v/>
      </c>
      <c r="P18" s="34">
        <f>IF(N18=0,"",F18*(4-M18))</f>
        <v/>
      </c>
      <c r="Q18" s="37">
        <f>IF(P18="","",IF(P18&gt;=12,"Critical",IF(P18&gt;=8,"High",IF(P18&gt;=4,"Medium",IF(P18&gt;=1,"Low","None")))))</f>
        <v/>
      </c>
      <c r="R18" s="34">
        <f>IF(AND(N18=1,M18&lt;3),1,0)</f>
        <v/>
      </c>
      <c r="S18" s="34">
        <f>IF(N18=0,"",M18*G18)</f>
        <v/>
      </c>
      <c r="T18" s="34">
        <f>IF(N18=0,"",4*G18)</f>
        <v/>
      </c>
      <c r="U18" s="27" t="inlineStr">
        <is>
          <t>A privacy review is a documented gate in the product development lifecycle but is discretionary in practice. Of the 11 features released in the period, three carried a completed review. Kavach Junior, the highest-risk launch in the period, went live without one.</t>
        </is>
      </c>
      <c r="V18" s="27" t="inlineStr">
        <is>
          <t>WP-024</t>
        </is>
      </c>
      <c r="W18" s="27" t="inlineStr">
        <is>
          <t>Rohit Menon, Head of Product</t>
        </is>
      </c>
      <c r="X18" s="27" t="inlineStr"/>
      <c r="Y18" s="33" t="inlineStr">
        <is>
          <t>Appropriate technical and organisational measures under section 8(4) require that new products, features and vendor engagements are assessed for compliance before personal data is processed, not after.</t>
        </is>
      </c>
      <c r="Z18" s="33" t="inlineStr">
        <is>
          <t>Is there a gate in the product and procurement lifecycle requiring privacy assessment before launch, and is there evidence of it having actually blocked or changed a launch?</t>
        </is>
      </c>
      <c r="AA18" s="33" t="inlineStr">
        <is>
          <t>Inspect the gate definition and completed assessments; test a sample of recent launches for whether the gate was applied before go-live.</t>
        </is>
      </c>
      <c r="AB18" s="33" t="inlineStr">
        <is>
          <t>Defined assessment gate in the product and procurement lifecycle · Completed assessments for recent launches, dated before go-live · Evidence of at least one launch changed or blocked as a result</t>
        </is>
      </c>
      <c r="AC18" s="33" t="inlineStr">
        <is>
          <t>—</t>
        </is>
      </c>
      <c r="AD18" s="35" t="inlineStr"/>
      <c r="AE18" s="33" t="inlineStr">
        <is>
          <t>The gate is embedded and enforced before go-live, with completed assessments predating launch and evidence of launches having been changed or blocked on privacy grounds.</t>
        </is>
      </c>
    </row>
    <row r="19" ht="42" customHeight="1">
      <c r="A19" s="33" t="inlineStr">
        <is>
          <t>NOT-01</t>
        </is>
      </c>
      <c r="B19" s="33" t="inlineStr">
        <is>
          <t>NOT</t>
        </is>
      </c>
      <c r="C19" s="33" t="inlineStr">
        <is>
          <t>Notice</t>
        </is>
      </c>
      <c r="D19" s="33" t="inlineStr">
        <is>
          <t>Notice accompanies or precedes every consent request</t>
        </is>
      </c>
      <c r="E19" s="33" t="inlineStr">
        <is>
          <t>Critical</t>
        </is>
      </c>
      <c r="F19" s="34">
        <f>IF(E19="Critical",4,IF(E19="High",3,IF(E19="Medium",2,1)))</f>
        <v/>
      </c>
      <c r="G19" s="35" t="n">
        <v>1.3</v>
      </c>
      <c r="H19" s="33" t="inlineStr">
        <is>
          <t>Yes</t>
        </is>
      </c>
      <c r="I19" s="33" t="inlineStr">
        <is>
          <t>in scope</t>
        </is>
      </c>
      <c r="J19" s="33" t="inlineStr">
        <is>
          <t>s.5(1)(i), DPDP Act, 2023</t>
        </is>
      </c>
      <c r="K19" s="33" t="inlineStr">
        <is>
          <t>[Rules citation to be verified]</t>
        </is>
      </c>
      <c r="L19" s="33" t="inlineStr">
        <is>
          <t>VERIFY_AGAINST_NOTIFIED_RULES</t>
        </is>
      </c>
      <c r="M19" s="36" t="n">
        <v>3</v>
      </c>
      <c r="N19" s="34">
        <f>IF(OR(H19="No",M19="",UPPER(M19)="NA"),0,1)</f>
        <v/>
      </c>
      <c r="O19" s="37">
        <f>IF(H19="No","Out of scope",IF(UPPER(M19)="NA","Not applicable",IF(M19="","Not assessed",IF(M19&gt;=4,"Compliant",IF(M19&gt;=3,"Substantially compliant",IF(M19&gt;=2,"Partially compliant","Non-compliant"))))))</f>
        <v/>
      </c>
      <c r="P19" s="34">
        <f>IF(N19=0,"",F19*(4-M19))</f>
        <v/>
      </c>
      <c r="Q19" s="37">
        <f>IF(P19="","",IF(P19&gt;=12,"Critical",IF(P19&gt;=8,"High",IF(P19&gt;=4,"Medium",IF(P19&gt;=1,"Low","None")))))</f>
        <v/>
      </c>
      <c r="R19" s="34">
        <f>IF(AND(N19=1,M19&lt;3),1,0)</f>
        <v/>
      </c>
      <c r="S19" s="34">
        <f>IF(N19=0,"",M19*G19)</f>
        <v/>
      </c>
      <c r="T19" s="34">
        <f>IF(N19=0,"",4*G19)</f>
        <v/>
      </c>
      <c r="U19" s="27" t="inlineStr">
        <is>
          <t>The registration journey presents a notice screen before the consent action on the mobile application. In the web journey and in the assisted onboarding flow used by field agents, the notice is presented as a hyperlink beside a pre-ticked declaration, so it neither accompanies nor precedes the consent in any meaningful sense.</t>
        </is>
      </c>
      <c r="V19" s="27" t="inlineStr">
        <is>
          <t>WP-030</t>
        </is>
      </c>
      <c r="W19" s="27" t="inlineStr">
        <is>
          <t>Rohit Menon, Head of Product</t>
        </is>
      </c>
      <c r="X19" s="27" t="inlineStr"/>
      <c r="Y19" s="33" t="inlineStr">
        <is>
          <t>Every request for consent must be accompanied or preceded by a notice informing the Data Principal of the personal data to be processed and the purpose of processing.</t>
        </is>
      </c>
      <c r="Z19" s="33" t="inlineStr">
        <is>
          <t>At every consent collection point, is a notice presented at or before the moment of consent — as distinct from a hyperlink to a privacy policy sitting beside a pre-ticked box?</t>
        </is>
      </c>
      <c r="AA19" s="33" t="inlineStr">
        <is>
          <t>Observation: walk every consent journey — web, app, offline, telephonic, partner-led — and record what is presented at the moment of consent.</t>
        </is>
      </c>
      <c r="AB19" s="33" t="inlineStr">
        <is>
          <t>Screenshots or recordings of each consent journey showing notice placement · Inventory of all consent collection points including offline and partner channels · Notice text as presented, not merely the policy it links to</t>
        </is>
      </c>
      <c r="AC19" s="33" t="inlineStr">
        <is>
          <t>Up to INR 50 crore</t>
        </is>
      </c>
      <c r="AD19" s="35" t="n">
        <v>7</v>
      </c>
      <c r="AE19" s="33" t="inlineStr">
        <is>
          <t>A compliant notice is presented at or before consent on every channel, with an inventory demonstrating completeness and periodic re-walking of journeys to confirm.</t>
        </is>
      </c>
    </row>
    <row r="20" ht="42" customHeight="1">
      <c r="A20" s="33" t="inlineStr">
        <is>
          <t>NOT-02</t>
        </is>
      </c>
      <c r="B20" s="33" t="inlineStr">
        <is>
          <t>NOT</t>
        </is>
      </c>
      <c r="C20" s="33" t="inlineStr">
        <is>
          <t>Notice</t>
        </is>
      </c>
      <c r="D20" s="33" t="inlineStr">
        <is>
          <t>Notice content — itemised data and specified purpose</t>
        </is>
      </c>
      <c r="E20" s="33" t="inlineStr">
        <is>
          <t>Critical</t>
        </is>
      </c>
      <c r="F20" s="34">
        <f>IF(E20="Critical",4,IF(E20="High",3,IF(E20="Medium",2,1)))</f>
        <v/>
      </c>
      <c r="G20" s="35" t="n">
        <v>1.3</v>
      </c>
      <c r="H20" s="33" t="inlineStr">
        <is>
          <t>Yes</t>
        </is>
      </c>
      <c r="I20" s="33" t="inlineStr">
        <is>
          <t>in scope</t>
        </is>
      </c>
      <c r="J20" s="33" t="inlineStr">
        <is>
          <t>s.5(1)(i), DPDP Act, 2023</t>
        </is>
      </c>
      <c r="K20" s="33" t="inlineStr">
        <is>
          <t>[Rules citation to be verified]</t>
        </is>
      </c>
      <c r="L20" s="33" t="inlineStr">
        <is>
          <t>VERIFY_AGAINST_NOTIFIED_RULES</t>
        </is>
      </c>
      <c r="M20" s="36" t="n">
        <v>1</v>
      </c>
      <c r="N20" s="34">
        <f>IF(OR(H20="No",M20="",UPPER(M20)="NA"),0,1)</f>
        <v/>
      </c>
      <c r="O20" s="37">
        <f>IF(H20="No","Out of scope",IF(UPPER(M20)="NA","Not applicable",IF(M20="","Not assessed",IF(M20&gt;=4,"Compliant",IF(M20&gt;=3,"Substantially compliant",IF(M20&gt;=2,"Partially compliant","Non-compliant"))))))</f>
        <v/>
      </c>
      <c r="P20" s="34">
        <f>IF(N20=0,"",F20*(4-M20))</f>
        <v/>
      </c>
      <c r="Q20" s="37">
        <f>IF(P20="","",IF(P20&gt;=12,"Critical",IF(P20&gt;=8,"High",IF(P20&gt;=4,"Medium",IF(P20&gt;=1,"Low","None")))))</f>
        <v/>
      </c>
      <c r="R20" s="34">
        <f>IF(AND(N20=1,M20&lt;3),1,0)</f>
        <v/>
      </c>
      <c r="S20" s="34">
        <f>IF(N20=0,"",M20*G20)</f>
        <v/>
      </c>
      <c r="T20" s="34">
        <f>IF(N20=0,"",4*G20)</f>
        <v/>
      </c>
      <c r="U20" s="27" t="inlineStr">
        <is>
          <t>The notice describes the data collected in categories such as 'identity and contact information' and 'usage data' and states purposes as 'to provide and improve our services'. It is neither an itemised description of the personal data nor a specified purpose. The notice also omits the account aggregator data received through the Consent Manager entirely.</t>
        </is>
      </c>
      <c r="V20" s="27" t="inlineStr">
        <is>
          <t>WP-031</t>
        </is>
      </c>
      <c r="W20" s="27" t="inlineStr">
        <is>
          <t>Meera Raghunathan, Head of Legal &amp; Compliance</t>
        </is>
      </c>
      <c r="X20" s="27" t="inlineStr"/>
      <c r="Y20" s="33" t="inlineStr">
        <is>
          <t>The notice must inform the Data Principal of the personal data proposed to be processed and the purpose of such processing.</t>
        </is>
      </c>
      <c r="Z20" s="33" t="inlineStr">
        <is>
          <t>Does the notice itemise the actual categories of personal data and state specific purposes, or does it use open-ended formulations such as "information you provide" and "to improve our services"?</t>
        </is>
      </c>
      <c r="AA20" s="33" t="inlineStr">
        <is>
          <t>Inspect notice text against the processing register; test whether every category and purpose in the register appears in the notice and vice versa.</t>
        </is>
      </c>
      <c r="AB20" s="33" t="inlineStr">
        <is>
          <t>Notice text with itemised data categories and specific purposes · Reconciliation of notice content to the processing register · Absence of catch-all purpose language</t>
        </is>
      </c>
      <c r="AC20" s="33" t="inlineStr">
        <is>
          <t>Up to INR 50 crore</t>
        </is>
      </c>
      <c r="AD20" s="35" t="n">
        <v>7</v>
      </c>
      <c r="AE20" s="33" t="inlineStr">
        <is>
          <t>Notice itemises data categories and states each purpose specifically, reconciles to the register in both directions, and is updated when processing changes.</t>
        </is>
      </c>
    </row>
    <row r="21" ht="42" customHeight="1">
      <c r="A21" s="33" t="inlineStr">
        <is>
          <t>NOT-03</t>
        </is>
      </c>
      <c r="B21" s="33" t="inlineStr">
        <is>
          <t>NOT</t>
        </is>
      </c>
      <c r="C21" s="33" t="inlineStr">
        <is>
          <t>Notice</t>
        </is>
      </c>
      <c r="D21" s="33" t="inlineStr">
        <is>
          <t>Notice explains rights and the route to the Board</t>
        </is>
      </c>
      <c r="E21" s="33" t="inlineStr">
        <is>
          <t>High</t>
        </is>
      </c>
      <c r="F21" s="34">
        <f>IF(E21="Critical",4,IF(E21="High",3,IF(E21="Medium",2,1)))</f>
        <v/>
      </c>
      <c r="G21" s="35" t="n">
        <v>1.2</v>
      </c>
      <c r="H21" s="33" t="inlineStr">
        <is>
          <t>Yes</t>
        </is>
      </c>
      <c r="I21" s="33" t="inlineStr">
        <is>
          <t>in scope</t>
        </is>
      </c>
      <c r="J21" s="33" t="inlineStr">
        <is>
          <t>s.5(1)(ii), s.5(1)(iii), DPDP Act, 2023</t>
        </is>
      </c>
      <c r="K21" s="33" t="inlineStr">
        <is>
          <t>[Rules citation to be verified]</t>
        </is>
      </c>
      <c r="L21" s="33" t="inlineStr">
        <is>
          <t>VERIFY_AGAINST_NOTIFIED_RULES</t>
        </is>
      </c>
      <c r="M21" s="36" t="n">
        <v>2</v>
      </c>
      <c r="N21" s="34">
        <f>IF(OR(H21="No",M21="",UPPER(M21)="NA"),0,1)</f>
        <v/>
      </c>
      <c r="O21" s="37">
        <f>IF(H21="No","Out of scope",IF(UPPER(M21)="NA","Not applicable",IF(M21="","Not assessed",IF(M21&gt;=4,"Compliant",IF(M21&gt;=3,"Substantially compliant",IF(M21&gt;=2,"Partially compliant","Non-compliant"))))))</f>
        <v/>
      </c>
      <c r="P21" s="34">
        <f>IF(N21=0,"",F21*(4-M21))</f>
        <v/>
      </c>
      <c r="Q21" s="37">
        <f>IF(P21="","",IF(P21&gt;=12,"Critical",IF(P21&gt;=8,"High",IF(P21&gt;=4,"Medium",IF(P21&gt;=1,"Low","None")))))</f>
        <v/>
      </c>
      <c r="R21" s="34">
        <f>IF(AND(N21=1,M21&lt;3),1,0)</f>
        <v/>
      </c>
      <c r="S21" s="34">
        <f>IF(N21=0,"",M21*G21)</f>
        <v/>
      </c>
      <c r="T21" s="34">
        <f>IF(N21=0,"",4*G21)</f>
        <v/>
      </c>
      <c r="U21" s="27" t="inlineStr">
        <is>
          <t>The notice explains the access and correction rights and links to the grievance form. It does not explain the right to withdraw consent, the right to nominate, or the manner in which a Data Principal may make a complaint to the Data Protection Board.</t>
        </is>
      </c>
      <c r="V21" s="27" t="inlineStr">
        <is>
          <t>WP-032</t>
        </is>
      </c>
      <c r="W21" s="27" t="inlineStr">
        <is>
          <t>Meera Raghunathan, Head of Legal &amp; Compliance</t>
        </is>
      </c>
      <c r="X21" s="27" t="inlineStr"/>
      <c r="Y21" s="33" t="inlineStr">
        <is>
          <t>The notice must inform the Data Principal of the manner in which they may exercise their rights to withdraw consent and to grievance redressal, and of the manner in which a complaint may be made to the Data Protection Board.</t>
        </is>
      </c>
      <c r="Z21" s="33" t="inlineStr">
        <is>
          <t>Does the notice explain, in operative terms, how to withdraw consent, how to seek grievance redressal, and how to complain to the Board — including the fact that the grievance mechanism must be exhausted first?</t>
        </is>
      </c>
      <c r="AA21" s="33" t="inlineStr">
        <is>
          <t>Inspect notice text for each of the three disclosures; test that the mechanisms described actually work as stated.</t>
        </is>
      </c>
      <c r="AB21" s="33" t="inlineStr">
        <is>
          <t>Notice text covering withdrawal, grievance redressal and complaint to the Board · Working links or contact routes for each · Consistency between what the notice describes and the operative mechanism</t>
        </is>
      </c>
      <c r="AC21" s="33" t="inlineStr">
        <is>
          <t>Up to INR 50 crore</t>
        </is>
      </c>
      <c r="AD21" s="35" t="n">
        <v>7</v>
      </c>
      <c r="AE21" s="33" t="inlineStr">
        <is>
          <t>All three are disclosed with operative, tested routes, and the notice correctly explains the sequencing of grievance redressal before approach to the Board.</t>
        </is>
      </c>
    </row>
    <row r="22" ht="42" customHeight="1">
      <c r="A22" s="33" t="inlineStr">
        <is>
          <t>NOT-04</t>
        </is>
      </c>
      <c r="B22" s="33" t="inlineStr">
        <is>
          <t>NOT</t>
        </is>
      </c>
      <c r="C22" s="33" t="inlineStr">
        <is>
          <t>Notice</t>
        </is>
      </c>
      <c r="D22" s="33" t="inlineStr">
        <is>
          <t>Notice available in English and Eighth Schedule languages</t>
        </is>
      </c>
      <c r="E22" s="33" t="inlineStr">
        <is>
          <t>Medium</t>
        </is>
      </c>
      <c r="F22" s="34">
        <f>IF(E22="Critical",4,IF(E22="High",3,IF(E22="Medium",2,1)))</f>
        <v/>
      </c>
      <c r="G22" s="35" t="n">
        <v>1</v>
      </c>
      <c r="H22" s="33" t="inlineStr">
        <is>
          <t>Yes</t>
        </is>
      </c>
      <c r="I22" s="33" t="inlineStr">
        <is>
          <t>in scope</t>
        </is>
      </c>
      <c r="J22" s="33" t="inlineStr">
        <is>
          <t>s.5(3), DPDP Act, 2023</t>
        </is>
      </c>
      <c r="K22" s="33" t="inlineStr">
        <is>
          <t>[Rules citation to be verified]</t>
        </is>
      </c>
      <c r="L22" s="33" t="inlineStr">
        <is>
          <t>VERIFY_AGAINST_NOTIFIED_RULES</t>
        </is>
      </c>
      <c r="M22" s="36" t="n">
        <v>1</v>
      </c>
      <c r="N22" s="34">
        <f>IF(OR(H22="No",M22="",UPPER(M22)="NA"),0,1)</f>
        <v/>
      </c>
      <c r="O22" s="37">
        <f>IF(H22="No","Out of scope",IF(UPPER(M22)="NA","Not applicable",IF(M22="","Not assessed",IF(M22&gt;=4,"Compliant",IF(M22&gt;=3,"Substantially compliant",IF(M22&gt;=2,"Partially compliant","Non-compliant"))))))</f>
        <v/>
      </c>
      <c r="P22" s="34">
        <f>IF(N22=0,"",F22*(4-M22))</f>
        <v/>
      </c>
      <c r="Q22" s="37">
        <f>IF(P22="","",IF(P22&gt;=12,"Critical",IF(P22&gt;=8,"High",IF(P22&gt;=4,"Medium",IF(P22&gt;=1,"Low","None")))))</f>
        <v/>
      </c>
      <c r="R22" s="34">
        <f>IF(AND(N22=1,M22&lt;3),1,0)</f>
        <v/>
      </c>
      <c r="S22" s="34">
        <f>IF(N22=0,"",M22*G22)</f>
        <v/>
      </c>
      <c r="T22" s="34">
        <f>IF(N22=0,"",4*G22)</f>
        <v/>
      </c>
      <c r="U22" s="27" t="inlineStr">
        <is>
          <t>Notice and consent screens are available in English and Hindi only. The entity's own registration data shows material user populations in Tamil, Telugu, Marathi, Bengali and Kannada. No language other than English and Hindi is offered, and no request mechanism exists for the remaining Eighth Schedule languages.</t>
        </is>
      </c>
      <c r="V22" s="27" t="inlineStr">
        <is>
          <t>WP-033</t>
        </is>
      </c>
      <c r="W22" s="27" t="inlineStr">
        <is>
          <t>Rohit Menon, Head of Product</t>
        </is>
      </c>
      <c r="X22" s="27" t="inlineStr"/>
      <c r="Y22" s="33" t="inlineStr">
        <is>
          <t>The Data Principal must be given the option to access the notice in English or any language specified in the Eighth Schedule to the Constitution of India.</t>
        </is>
      </c>
      <c r="Z22" s="33" t="inlineStr">
        <is>
          <t>Is the notice actually available in English and in Eighth Schedule languages, with a discoverable language selector — and are the translations accurate rather than machine-rendered approximations of legal effect?</t>
        </is>
      </c>
      <c r="AA22" s="33" t="inlineStr">
        <is>
          <t>Observation: locate and exercise the language option on each surface; inspect translation provenance and review process.</t>
        </is>
      </c>
      <c r="AB22" s="33" t="inlineStr">
        <is>
          <t>Notice published in English plus Eighth Schedule languages · Discoverable language selection mechanism on each surface · Translation review or certification records</t>
        </is>
      </c>
      <c r="AC22" s="33" t="inlineStr">
        <is>
          <t>Up to INR 50 crore</t>
        </is>
      </c>
      <c r="AD22" s="35" t="n">
        <v>7</v>
      </c>
      <c r="AE22" s="33" t="inlineStr">
        <is>
          <t>The option is genuinely available and discoverable across surfaces, translations are reviewed for legal accuracy, and version control keeps every language aligned when the notice changes.</t>
        </is>
      </c>
    </row>
    <row r="23" ht="42" customHeight="1">
      <c r="A23" s="33" t="inlineStr">
        <is>
          <t>NOT-05</t>
        </is>
      </c>
      <c r="B23" s="33" t="inlineStr">
        <is>
          <t>NOT</t>
        </is>
      </c>
      <c r="C23" s="33" t="inlineStr">
        <is>
          <t>Notice</t>
        </is>
      </c>
      <c r="D23" s="33" t="inlineStr">
        <is>
          <t>Retrospective notice for pre-commencement consent</t>
        </is>
      </c>
      <c r="E23" s="33" t="inlineStr">
        <is>
          <t>High</t>
        </is>
      </c>
      <c r="F23" s="34">
        <f>IF(E23="Critical",4,IF(E23="High",3,IF(E23="Medium",2,1)))</f>
        <v/>
      </c>
      <c r="G23" s="35" t="n">
        <v>1.1</v>
      </c>
      <c r="H23" s="33" t="inlineStr">
        <is>
          <t>Yes</t>
        </is>
      </c>
      <c r="I23" s="33" t="inlineStr">
        <is>
          <t>in scope</t>
        </is>
      </c>
      <c r="J23" s="33" t="inlineStr">
        <is>
          <t>s.5(2), DPDP Act, 2023</t>
        </is>
      </c>
      <c r="K23" s="33" t="inlineStr">
        <is>
          <t>[Rules citation to be verified]</t>
        </is>
      </c>
      <c r="L23" s="33" t="inlineStr">
        <is>
          <t>VERIFY_AGAINST_NOTIFIED_RULES</t>
        </is>
      </c>
      <c r="M23" s="36" t="n">
        <v>0</v>
      </c>
      <c r="N23" s="34">
        <f>IF(OR(H23="No",M23="",UPPER(M23)="NA"),0,1)</f>
        <v/>
      </c>
      <c r="O23" s="37">
        <f>IF(H23="No","Out of scope",IF(UPPER(M23)="NA","Not applicable",IF(M23="","Not assessed",IF(M23&gt;=4,"Compliant",IF(M23&gt;=3,"Substantially compliant",IF(M23&gt;=2,"Partially compliant","Non-compliant"))))))</f>
        <v/>
      </c>
      <c r="P23" s="34">
        <f>IF(N23=0,"",F23*(4-M23))</f>
        <v/>
      </c>
      <c r="Q23" s="37">
        <f>IF(P23="","",IF(P23&gt;=12,"Critical",IF(P23&gt;=8,"High",IF(P23&gt;=4,"Medium",IF(P23&gt;=1,"Low","None")))))</f>
        <v/>
      </c>
      <c r="R23" s="34">
        <f>IF(AND(N23=1,M23&lt;3),1,0)</f>
        <v/>
      </c>
      <c r="S23" s="34">
        <f>IF(N23=0,"",M23*G23)</f>
        <v/>
      </c>
      <c r="T23" s="34">
        <f>IF(N23=0,"",4*G23)</f>
        <v/>
      </c>
      <c r="U23" s="27" t="inlineStr">
        <is>
          <t>Approximately 9.4 million Data Principals onboarded before the current notice version have not been given a retrospective notice. Management was aware of the requirement and has scoped a campaign but has not set a date, citing concern about attrition and support volume. No compensating action has been taken.</t>
        </is>
      </c>
      <c r="V23" s="27" t="inlineStr">
        <is>
          <t>WP-034</t>
        </is>
      </c>
      <c r="W23" s="27" t="inlineStr">
        <is>
          <t>Meera Raghunathan, Head of Legal &amp; Compliance</t>
        </is>
      </c>
      <c r="X23" s="27" t="inlineStr"/>
      <c r="Y23" s="33" t="inlineStr">
        <is>
          <t>Where personal data is processed on the basis of consent given before the commencement of the Act, the Data Fiduciary must, as soon as reasonably practicable, give the Data Principal a notice compliant with the Act's requirements. Processing may continue until consent is withdrawn.</t>
        </is>
      </c>
      <c r="Z23" s="33" t="inlineStr">
        <is>
          <t>Has the entity identified its pre-commencement consent population and issued compliant retrospective notice to it, with evidence of despatch and of handling the withdrawals that follow?</t>
        </is>
      </c>
      <c r="AA23" s="33" t="inlineStr">
        <is>
          <t>Inspect the identified population and despatch evidence; test a sample of records for whether notice was in fact issued and what followed.</t>
        </is>
      </c>
      <c r="AB23" s="33" t="inlineStr">
        <is>
          <t>Identification of the pre-commencement Data Principal population · Notice content issued retrospectively and despatch records · Handling of withdrawals arising from the exercise</t>
        </is>
      </c>
      <c r="AC23" s="33" t="inlineStr">
        <is>
          <t>Up to INR 50 crore</t>
        </is>
      </c>
      <c r="AD23" s="35" t="n">
        <v>7</v>
      </c>
      <c r="AE23" s="33" t="inlineStr">
        <is>
          <t>The full population is identified, compliant notice is evidenced as despatched, coverage gaps are documented with rationale, and resulting withdrawals were processed and evidenced.</t>
        </is>
      </c>
    </row>
    <row r="24" ht="42" customHeight="1">
      <c r="A24" s="33" t="inlineStr">
        <is>
          <t>CON-01</t>
        </is>
      </c>
      <c r="B24" s="33" t="inlineStr">
        <is>
          <t>CON</t>
        </is>
      </c>
      <c r="C24" s="33" t="inlineStr">
        <is>
          <t>Consent</t>
        </is>
      </c>
      <c r="D24" s="33" t="inlineStr">
        <is>
          <t>Consent is free, specific, informed, unconditional and unambiguous</t>
        </is>
      </c>
      <c r="E24" s="33" t="inlineStr">
        <is>
          <t>Critical</t>
        </is>
      </c>
      <c r="F24" s="34">
        <f>IF(E24="Critical",4,IF(E24="High",3,IF(E24="Medium",2,1)))</f>
        <v/>
      </c>
      <c r="G24" s="35" t="n">
        <v>1.4</v>
      </c>
      <c r="H24" s="33" t="inlineStr">
        <is>
          <t>Yes</t>
        </is>
      </c>
      <c r="I24" s="33" t="inlineStr">
        <is>
          <t>in scope</t>
        </is>
      </c>
      <c r="J24" s="33" t="inlineStr">
        <is>
          <t>s.6(1), DPDP Act, 2023</t>
        </is>
      </c>
      <c r="K24" s="33" t="inlineStr">
        <is>
          <t>[Rules citation to be verified]</t>
        </is>
      </c>
      <c r="L24" s="33" t="inlineStr">
        <is>
          <t>VERIFY_AGAINST_NOTIFIED_RULES</t>
        </is>
      </c>
      <c r="M24" s="36" t="n">
        <v>2</v>
      </c>
      <c r="N24" s="34">
        <f>IF(OR(H24="No",M24="",UPPER(M24)="NA"),0,1)</f>
        <v/>
      </c>
      <c r="O24" s="37">
        <f>IF(H24="No","Out of scope",IF(UPPER(M24)="NA","Not applicable",IF(M24="","Not assessed",IF(M24&gt;=4,"Compliant",IF(M24&gt;=3,"Substantially compliant",IF(M24&gt;=2,"Partially compliant","Non-compliant"))))))</f>
        <v/>
      </c>
      <c r="P24" s="34">
        <f>IF(N24=0,"",F24*(4-M24))</f>
        <v/>
      </c>
      <c r="Q24" s="37">
        <f>IF(P24="","",IF(P24&gt;=12,"Critical",IF(P24&gt;=8,"High",IF(P24&gt;=4,"Medium",IF(P24&gt;=1,"Low","None")))))</f>
        <v/>
      </c>
      <c r="R24" s="34">
        <f>IF(AND(N24=1,M24&lt;3),1,0)</f>
        <v/>
      </c>
      <c r="S24" s="34">
        <f>IF(N24=0,"",M24*G24)</f>
        <v/>
      </c>
      <c r="T24" s="34">
        <f>IF(N24=0,"",4*G24)</f>
        <v/>
      </c>
      <c r="U24" s="27" t="inlineStr">
        <is>
          <t>Consent is captured through a single checkbox covering the privacy policy, terms of service, marketing communications and credit bureau enquiry. It is therefore neither specific nor unconditional: a Data Principal cannot accept the service without also accepting marketing. Purpose-level granularity exists in the data model but is not exposed in the interface.</t>
        </is>
      </c>
      <c r="V24" s="27" t="inlineStr">
        <is>
          <t>WP-040</t>
        </is>
      </c>
      <c r="W24" s="27" t="inlineStr">
        <is>
          <t>Rohit Menon, Head of Product</t>
        </is>
      </c>
      <c r="X24" s="27" t="inlineStr"/>
      <c r="Y24" s="33" t="inlineStr">
        <is>
          <t>Consent must be free, specific, informed, unconditional and unambiguous with a clear affirmative action, signifying agreement to processing of the personal data for the specified purpose.</t>
        </is>
      </c>
      <c r="Z24" s="33" t="inlineStr">
        <is>
          <t>Does each consent involve a clear affirmative action — no pre-ticked boxes, no consent inferred from continued use, no consent bundled across unrelated purposes into a single acceptance?</t>
        </is>
      </c>
      <c r="AA24" s="33" t="inlineStr">
        <is>
          <t>Observation and re-performance: complete each consent journey and record the mechanism; inspect the stored artefact to confirm it reflects an affirmative act.</t>
        </is>
      </c>
      <c r="AB24" s="33" t="inlineStr">
        <is>
          <t>Consent interface showing unticked, separate, affirmative controls · Absence of consent inferred from silence, inactivity or continued use · Separate consent per distinct purpose</t>
        </is>
      </c>
      <c r="AC24" s="33" t="inlineStr">
        <is>
          <t>Up to INR 50 crore</t>
        </is>
      </c>
      <c r="AD24" s="35" t="n">
        <v>7</v>
      </c>
      <c r="AE24" s="33" t="inlineStr">
        <is>
          <t>Each distinct purpose has its own unticked affirmative control, no consent is inferred from inactivity, and the stored artefact records which specific purposes were agreed.</t>
        </is>
      </c>
    </row>
    <row r="25" ht="42" customHeight="1">
      <c r="A25" s="33" t="inlineStr">
        <is>
          <t>CON-02</t>
        </is>
      </c>
      <c r="B25" s="33" t="inlineStr">
        <is>
          <t>CON</t>
        </is>
      </c>
      <c r="C25" s="33" t="inlineStr">
        <is>
          <t>Consent</t>
        </is>
      </c>
      <c r="D25" s="33" t="inlineStr">
        <is>
          <t>Consent not conditioned on service where data is unnecessary</t>
        </is>
      </c>
      <c r="E25" s="33" t="inlineStr">
        <is>
          <t>Critical</t>
        </is>
      </c>
      <c r="F25" s="34">
        <f>IF(E25="Critical",4,IF(E25="High",3,IF(E25="Medium",2,1)))</f>
        <v/>
      </c>
      <c r="G25" s="35" t="n">
        <v>1.3</v>
      </c>
      <c r="H25" s="33" t="inlineStr">
        <is>
          <t>Yes</t>
        </is>
      </c>
      <c r="I25" s="33" t="inlineStr">
        <is>
          <t>in scope</t>
        </is>
      </c>
      <c r="J25" s="33" t="inlineStr">
        <is>
          <t>s.6(1), s.6(2), DPDP Act, 2023</t>
        </is>
      </c>
      <c r="K25" s="33" t="inlineStr">
        <is>
          <t>—</t>
        </is>
      </c>
      <c r="L25" s="33" t="inlineStr">
        <is>
          <t>—</t>
        </is>
      </c>
      <c r="M25" s="36" t="n">
        <v>2</v>
      </c>
      <c r="N25" s="34">
        <f>IF(OR(H25="No",M25="",UPPER(M25)="NA"),0,1)</f>
        <v/>
      </c>
      <c r="O25" s="37">
        <f>IF(H25="No","Out of scope",IF(UPPER(M25)="NA","Not applicable",IF(M25="","Not assessed",IF(M25&gt;=4,"Compliant",IF(M25&gt;=3,"Substantially compliant",IF(M25&gt;=2,"Partially compliant","Non-compliant"))))))</f>
        <v/>
      </c>
      <c r="P25" s="34">
        <f>IF(N25=0,"",F25*(4-M25))</f>
        <v/>
      </c>
      <c r="Q25" s="37">
        <f>IF(P25="","",IF(P25&gt;=12,"Critical",IF(P25&gt;=8,"High",IF(P25&gt;=4,"Medium",IF(P25&gt;=1,"Low","None")))))</f>
        <v/>
      </c>
      <c r="R25" s="34">
        <f>IF(AND(N25=1,M25&lt;3),1,0)</f>
        <v/>
      </c>
      <c r="S25" s="34">
        <f>IF(N25=0,"",M25*G25)</f>
        <v/>
      </c>
      <c r="T25" s="34">
        <f>IF(N25=0,"",4*G25)</f>
        <v/>
      </c>
      <c r="U25" s="27" t="inlineStr">
        <is>
          <t>Registration for the payments-only product cannot be completed without consenting to the bureau enquiry, which is not necessary for that service. The lending journey, by contrast, is correctly scoped.</t>
        </is>
      </c>
      <c r="V25" s="27" t="inlineStr">
        <is>
          <t>WP-041</t>
        </is>
      </c>
      <c r="W25" s="27" t="inlineStr">
        <is>
          <t>Rohit Menon, Head of Product</t>
        </is>
      </c>
      <c r="X25" s="27" t="inlineStr"/>
      <c r="Y25" s="33" t="inlineStr">
        <is>
          <t>Consent extends only to personal data necessary for the specified purpose, and is invalid to the extent it purports to go further. Consent conditioned on provision of unnecessary data is not free.</t>
        </is>
      </c>
      <c r="Z25" s="33" t="inlineStr">
        <is>
          <t>Is access to the service made conditional on consent to processing that is not necessary for delivering it — marketing, profiling, enrichment or data sharing presented as unavoidable?</t>
        </is>
      </c>
      <c r="AA25" s="33" t="inlineStr">
        <is>
          <t>Re-performance: attempt to complete onboarding declining every non-essential consent, and record whether the service remains usable.</t>
        </is>
      </c>
      <c r="AB25" s="33" t="inlineStr">
        <is>
          <t>Evidence that the service functions when non-essential consents are declined · Analysis distinguishing necessary from optional processing per service · Absence of dark patterns making refusal disproportionately difficult</t>
        </is>
      </c>
      <c r="AC25" s="33" t="inlineStr">
        <is>
          <t>Up to INR 50 crore</t>
        </is>
      </c>
      <c r="AD25" s="35" t="n">
        <v>7</v>
      </c>
      <c r="AE25" s="33" t="inlineStr">
        <is>
          <t>Testing confirms the service is fully usable when every non-essential consent is declined, refusal is as easy as acceptance, and the necessary/optional split is documented.</t>
        </is>
      </c>
    </row>
    <row r="26" ht="42" customHeight="1">
      <c r="A26" s="33" t="inlineStr">
        <is>
          <t>CON-03</t>
        </is>
      </c>
      <c r="B26" s="33" t="inlineStr">
        <is>
          <t>CON</t>
        </is>
      </c>
      <c r="C26" s="33" t="inlineStr">
        <is>
          <t>Consent</t>
        </is>
      </c>
      <c r="D26" s="33" t="inlineStr">
        <is>
          <t>Consent request in clear and plain language with contact details</t>
        </is>
      </c>
      <c r="E26" s="33" t="inlineStr">
        <is>
          <t>High</t>
        </is>
      </c>
      <c r="F26" s="34">
        <f>IF(E26="Critical",4,IF(E26="High",3,IF(E26="Medium",2,1)))</f>
        <v/>
      </c>
      <c r="G26" s="35" t="n">
        <v>1.1</v>
      </c>
      <c r="H26" s="33" t="inlineStr">
        <is>
          <t>Yes</t>
        </is>
      </c>
      <c r="I26" s="33" t="inlineStr">
        <is>
          <t>in scope</t>
        </is>
      </c>
      <c r="J26" s="33" t="inlineStr">
        <is>
          <t>s.6(3), DPDP Act, 2023</t>
        </is>
      </c>
      <c r="K26" s="33" t="inlineStr">
        <is>
          <t>[Rules citation to be verified]</t>
        </is>
      </c>
      <c r="L26" s="33" t="inlineStr">
        <is>
          <t>VERIFY_AGAINST_NOTIFIED_RULES</t>
        </is>
      </c>
      <c r="M26" s="36" t="n">
        <v>3</v>
      </c>
      <c r="N26" s="34">
        <f>IF(OR(H26="No",M26="",UPPER(M26)="NA"),0,1)</f>
        <v/>
      </c>
      <c r="O26" s="37">
        <f>IF(H26="No","Out of scope",IF(UPPER(M26)="NA","Not applicable",IF(M26="","Not assessed",IF(M26&gt;=4,"Compliant",IF(M26&gt;=3,"Substantially compliant",IF(M26&gt;=2,"Partially compliant","Non-compliant"))))))</f>
        <v/>
      </c>
      <c r="P26" s="34">
        <f>IF(N26=0,"",F26*(4-M26))</f>
        <v/>
      </c>
      <c r="Q26" s="37">
        <f>IF(P26="","",IF(P26&gt;=12,"Critical",IF(P26&gt;=8,"High",IF(P26&gt;=4,"Medium",IF(P26&gt;=1,"Low","None")))))</f>
        <v/>
      </c>
      <c r="R26" s="34">
        <f>IF(AND(N26=1,M26&lt;3),1,0)</f>
        <v/>
      </c>
      <c r="S26" s="34">
        <f>IF(N26=0,"",M26*G26)</f>
        <v/>
      </c>
      <c r="T26" s="34">
        <f>IF(N26=0,"",4*G26)</f>
        <v/>
      </c>
      <c r="U26" s="27" t="inlineStr">
        <is>
          <t>The consent request is short and in plain language and names the entity. It does not provide the contact details of the person able to answer questions about the processing, and directs the reader to a 47-page combined policy document for detail.</t>
        </is>
      </c>
      <c r="V26" s="27" t="inlineStr">
        <is>
          <t>WP-042</t>
        </is>
      </c>
      <c r="W26" s="27" t="inlineStr">
        <is>
          <t>Meera Raghunathan, Head of Legal &amp; Compliance</t>
        </is>
      </c>
      <c r="X26" s="27" t="inlineStr"/>
      <c r="Y26" s="33" t="inlineStr">
        <is>
          <t>Every request for consent must be presented in clear and plain language, giving the option to access it in English or an Eighth Schedule language, and must provide the contact details of the Data Protection Officer or other person authorised to respond on the Data Fiduciary's behalf.</t>
        </is>
      </c>
      <c r="Z26" s="33" t="inlineStr">
        <is>
          <t>Is the consent request written in plain language accessible to a general audience, and does it carry the required contact details at the point of request rather than only deep in a policy?</t>
        </is>
      </c>
      <c r="AA26" s="33" t="inlineStr">
        <is>
          <t>Inspect consent text for readability and for contact details; assess against a plain-language standard.</t>
        </is>
      </c>
      <c r="AB26" s="33" t="inlineStr">
        <is>
          <t>Consent request text with contact details present at the point of request · Readability assessment or plain-language review record · Language options available at the point of request</t>
        </is>
      </c>
      <c r="AC26" s="33" t="inlineStr">
        <is>
          <t>Up to INR 50 crore</t>
        </is>
      </c>
      <c r="AD26" s="35" t="n">
        <v>7</v>
      </c>
      <c r="AE26" s="33" t="inlineStr">
        <is>
          <t>Consent text is demonstrably plain, reviewed against a readability standard, carries contact details in-line, and offers language options at the point of request.</t>
        </is>
      </c>
    </row>
    <row r="27" ht="42" customHeight="1">
      <c r="A27" s="33" t="inlineStr">
        <is>
          <t>CON-04</t>
        </is>
      </c>
      <c r="B27" s="33" t="inlineStr">
        <is>
          <t>CON</t>
        </is>
      </c>
      <c r="C27" s="33" t="inlineStr">
        <is>
          <t>Consent</t>
        </is>
      </c>
      <c r="D27" s="33" t="inlineStr">
        <is>
          <t>Withdrawal of consent as easy as giving it</t>
        </is>
      </c>
      <c r="E27" s="33" t="inlineStr">
        <is>
          <t>Critical</t>
        </is>
      </c>
      <c r="F27" s="34">
        <f>IF(E27="Critical",4,IF(E27="High",3,IF(E27="Medium",2,1)))</f>
        <v/>
      </c>
      <c r="G27" s="35" t="n">
        <v>1.3</v>
      </c>
      <c r="H27" s="33" t="inlineStr">
        <is>
          <t>Yes</t>
        </is>
      </c>
      <c r="I27" s="33" t="inlineStr">
        <is>
          <t>in scope</t>
        </is>
      </c>
      <c r="J27" s="33" t="inlineStr">
        <is>
          <t>s.6(4), DPDP Act, 2023</t>
        </is>
      </c>
      <c r="K27" s="33" t="inlineStr">
        <is>
          <t>—</t>
        </is>
      </c>
      <c r="L27" s="33" t="inlineStr">
        <is>
          <t>—</t>
        </is>
      </c>
      <c r="M27" s="36" t="n">
        <v>1</v>
      </c>
      <c r="N27" s="34">
        <f>IF(OR(H27="No",M27="",UPPER(M27)="NA"),0,1)</f>
        <v/>
      </c>
      <c r="O27" s="37">
        <f>IF(H27="No","Out of scope",IF(UPPER(M27)="NA","Not applicable",IF(M27="","Not assessed",IF(M27&gt;=4,"Compliant",IF(M27&gt;=3,"Substantially compliant",IF(M27&gt;=2,"Partially compliant","Non-compliant"))))))</f>
        <v/>
      </c>
      <c r="P27" s="34">
        <f>IF(N27=0,"",F27*(4-M27))</f>
        <v/>
      </c>
      <c r="Q27" s="37">
        <f>IF(P27="","",IF(P27&gt;=12,"Critical",IF(P27&gt;=8,"High",IF(P27&gt;=4,"Medium",IF(P27&gt;=1,"Low","None")))))</f>
        <v/>
      </c>
      <c r="R27" s="34">
        <f>IF(AND(N27=1,M27&lt;3),1,0)</f>
        <v/>
      </c>
      <c r="S27" s="34">
        <f>IF(N27=0,"",M27*G27)</f>
        <v/>
      </c>
      <c r="T27" s="34">
        <f>IF(N27=0,"",4*G27)</f>
        <v/>
      </c>
      <c r="U27" s="27" t="inlineStr">
        <is>
          <t>Withdrawal of consent is not available in the application. Marketing preferences can be toggled, but withdrawal of consent for processing requires an email to the support address, after which an agent follows a manual runbook. Against a two-tap consent action this is plainly not as easy to withdraw as to give.</t>
        </is>
      </c>
      <c r="V27" s="27" t="inlineStr">
        <is>
          <t>WP-043</t>
        </is>
      </c>
      <c r="W27" s="27" t="inlineStr">
        <is>
          <t>Rohit Menon, Head of Product</t>
        </is>
      </c>
      <c r="X27" s="27" t="inlineStr"/>
      <c r="Y27" s="33" t="inlineStr">
        <is>
          <t>The Data Principal has the right to withdraw consent at any time, and the ease of doing so must be comparable to the ease with which consent was given.</t>
        </is>
      </c>
      <c r="Z27" s="33" t="inlineStr">
        <is>
          <t>Can consent be withdrawn through the same channel and with comparable effort to giving it — a self-service control where consent was given in-app — or does withdrawal require an email, a call, or navigating to an obscure setting?</t>
        </is>
      </c>
      <c r="AA27" s="33" t="inlineStr">
        <is>
          <t>Re-performance: withdraw consent through each available route, counting steps and elapsed time, and compare against the steps to give it.</t>
        </is>
      </c>
      <c r="AB27" s="33" t="inlineStr">
        <is>
          <t>Self-service withdrawal control on the same surface as collection · Step-count comparison between giving and withdrawing · Evidence of withdrawals actually processed end to end</t>
        </is>
      </c>
      <c r="AC27" s="33" t="inlineStr">
        <is>
          <t>Up to INR 50 crore</t>
        </is>
      </c>
      <c r="AD27" s="35" t="n">
        <v>7</v>
      </c>
      <c r="AE27" s="33" t="inlineStr">
        <is>
          <t>Withdrawal is available on the same surface with comparable effort, tested end to end, and the step-count comparison is documented.</t>
        </is>
      </c>
    </row>
    <row r="28" ht="42" customHeight="1">
      <c r="A28" s="33" t="inlineStr">
        <is>
          <t>CON-05</t>
        </is>
      </c>
      <c r="B28" s="33" t="inlineStr">
        <is>
          <t>CON</t>
        </is>
      </c>
      <c r="C28" s="33" t="inlineStr">
        <is>
          <t>Consent</t>
        </is>
      </c>
      <c r="D28" s="33" t="inlineStr">
        <is>
          <t>Consequences of withdrawal disclosed and borne by the Data Principal</t>
        </is>
      </c>
      <c r="E28" s="33" t="inlineStr">
        <is>
          <t>Medium</t>
        </is>
      </c>
      <c r="F28" s="34">
        <f>IF(E28="Critical",4,IF(E28="High",3,IF(E28="Medium",2,1)))</f>
        <v/>
      </c>
      <c r="G28" s="35" t="n">
        <v>1</v>
      </c>
      <c r="H28" s="33" t="inlineStr">
        <is>
          <t>Yes</t>
        </is>
      </c>
      <c r="I28" s="33" t="inlineStr">
        <is>
          <t>in scope</t>
        </is>
      </c>
      <c r="J28" s="33" t="inlineStr">
        <is>
          <t>s.6(5), s.6(6), DPDP Act, 2023</t>
        </is>
      </c>
      <c r="K28" s="33" t="inlineStr">
        <is>
          <t>—</t>
        </is>
      </c>
      <c r="L28" s="33" t="inlineStr">
        <is>
          <t>—</t>
        </is>
      </c>
      <c r="M28" s="36" t="n">
        <v>2</v>
      </c>
      <c r="N28" s="34">
        <f>IF(OR(H28="No",M28="",UPPER(M28)="NA"),0,1)</f>
        <v/>
      </c>
      <c r="O28" s="37">
        <f>IF(H28="No","Out of scope",IF(UPPER(M28)="NA","Not applicable",IF(M28="","Not assessed",IF(M28&gt;=4,"Compliant",IF(M28&gt;=3,"Substantially compliant",IF(M28&gt;=2,"Partially compliant","Non-compliant"))))))</f>
        <v/>
      </c>
      <c r="P28" s="34">
        <f>IF(N28=0,"",F28*(4-M28))</f>
        <v/>
      </c>
      <c r="Q28" s="37">
        <f>IF(P28="","",IF(P28&gt;=12,"Critical",IF(P28&gt;=8,"High",IF(P28&gt;=4,"Medium",IF(P28&gt;=1,"Low","None")))))</f>
        <v/>
      </c>
      <c r="R28" s="34">
        <f>IF(AND(N28=1,M28&lt;3),1,0)</f>
        <v/>
      </c>
      <c r="S28" s="34">
        <f>IF(N28=0,"",M28*G28)</f>
        <v/>
      </c>
      <c r="T28" s="34">
        <f>IF(N28=0,"",4*G28)</f>
        <v/>
      </c>
      <c r="U28" s="27" t="inlineStr">
        <is>
          <t>Consequences of withdrawal are described in the policy document but are not surfaced at the point of withdrawal, and the description does not distinguish consequences that follow from the withdrawal itself from service changes the entity elects to make.</t>
        </is>
      </c>
      <c r="V28" s="27" t="inlineStr">
        <is>
          <t>WP-044</t>
        </is>
      </c>
      <c r="W28" s="27" t="inlineStr">
        <is>
          <t>Meera Raghunathan, Head of Legal &amp; Compliance</t>
        </is>
      </c>
      <c r="X28" s="27" t="inlineStr"/>
      <c r="Y28" s="33" t="inlineStr">
        <is>
          <t>The Data Principal bears the consequences of withdrawal of consent, and those consequences must be made known. Withdrawal does not affect the legality of processing carried out before it.</t>
        </is>
      </c>
      <c r="Z28" s="33" t="inlineStr">
        <is>
          <t>Are the consequences of withdrawal explained accurately at the point of withdrawal — neither understated nor exaggerated into a deterrent?</t>
        </is>
      </c>
      <c r="AA28" s="33" t="inlineStr">
        <is>
          <t>Inspect withdrawal interface text; assess whether stated consequences are accurate and proportionate rather than discouraging.</t>
        </is>
      </c>
      <c r="AB28" s="33" t="inlineStr">
        <is>
          <t>Withdrawal interface text describing actual consequences · Verification that stated consequences match what technically follows · Absence of deterrent framing or exaggerated warnings</t>
        </is>
      </c>
      <c r="AC28" s="33" t="inlineStr">
        <is>
          <t>Up to INR 50 crore</t>
        </is>
      </c>
      <c r="AD28" s="35" t="n">
        <v>7</v>
      </c>
      <c r="AE28" s="33" t="inlineStr">
        <is>
          <t>Consequences are accurately and neutrally stated, verified against what technically occurs, and free of deterrent framing.</t>
        </is>
      </c>
    </row>
    <row r="29" ht="42" customHeight="1">
      <c r="A29" s="33" t="inlineStr">
        <is>
          <t>CON-06</t>
        </is>
      </c>
      <c r="B29" s="33" t="inlineStr">
        <is>
          <t>CON</t>
        </is>
      </c>
      <c r="C29" s="33" t="inlineStr">
        <is>
          <t>Consent</t>
        </is>
      </c>
      <c r="D29" s="33" t="inlineStr">
        <is>
          <t>Processing ceases within a reasonable time of withdrawal</t>
        </is>
      </c>
      <c r="E29" s="33" t="inlineStr">
        <is>
          <t>Critical</t>
        </is>
      </c>
      <c r="F29" s="34">
        <f>IF(E29="Critical",4,IF(E29="High",3,IF(E29="Medium",2,1)))</f>
        <v/>
      </c>
      <c r="G29" s="35" t="n">
        <v>1.3</v>
      </c>
      <c r="H29" s="33" t="inlineStr">
        <is>
          <t>Yes</t>
        </is>
      </c>
      <c r="I29" s="33" t="inlineStr">
        <is>
          <t>in scope</t>
        </is>
      </c>
      <c r="J29" s="33" t="inlineStr">
        <is>
          <t>s.6(6), DPDP Act, 2023</t>
        </is>
      </c>
      <c r="K29" s="33" t="inlineStr">
        <is>
          <t>—</t>
        </is>
      </c>
      <c r="L29" s="33" t="inlineStr">
        <is>
          <t>—</t>
        </is>
      </c>
      <c r="M29" s="36" t="n">
        <v>1</v>
      </c>
      <c r="N29" s="34">
        <f>IF(OR(H29="No",M29="",UPPER(M29)="NA"),0,1)</f>
        <v/>
      </c>
      <c r="O29" s="37">
        <f>IF(H29="No","Out of scope",IF(UPPER(M29)="NA","Not applicable",IF(M29="","Not assessed",IF(M29&gt;=4,"Compliant",IF(M29&gt;=3,"Substantially compliant",IF(M29&gt;=2,"Partially compliant","Non-compliant"))))))</f>
        <v/>
      </c>
      <c r="P29" s="34">
        <f>IF(N29=0,"",F29*(4-M29))</f>
        <v/>
      </c>
      <c r="Q29" s="37">
        <f>IF(P29="","",IF(P29&gt;=12,"Critical",IF(P29&gt;=8,"High",IF(P29&gt;=4,"Medium",IF(P29&gt;=1,"Low","None")))))</f>
        <v/>
      </c>
      <c r="R29" s="34">
        <f>IF(AND(N29=1,M29&lt;3),1,0)</f>
        <v/>
      </c>
      <c r="S29" s="34">
        <f>IF(N29=0,"",M29*G29)</f>
        <v/>
      </c>
      <c r="T29" s="34">
        <f>IF(N29=0,"",4*G29)</f>
        <v/>
      </c>
      <c r="U29" s="27" t="inlineStr">
        <is>
          <t>Testing of three withdrawal requests found processing continued after withdrawal in all three. Marketing suppression was applied within 48 hours, but the Snowflake warehouse, the CleverTap audience and the churn model training set retained and continued to use the records. Median elapsed time to full cessation could not be established because the entity does not measure it.</t>
        </is>
      </c>
      <c r="V29" s="27" t="inlineStr">
        <is>
          <t>WP-045</t>
        </is>
      </c>
      <c r="W29" s="27" t="inlineStr">
        <is>
          <t>Devika Iyer, VP Engineering</t>
        </is>
      </c>
      <c r="X29" s="27" t="inlineStr"/>
      <c r="Y29" s="33" t="inlineStr">
        <is>
          <t>On withdrawal of consent, the Data Fiduciary must, within a reasonable time, cease processing the personal data unless such processing without consent is required or authorised by law, and must cause its Data Processors to cease as well.</t>
        </is>
      </c>
      <c r="Z29" s="33" t="inlineStr">
        <is>
          <t>How long after withdrawal does processing actually stop, across all systems including analytics, marketing platforms, warehouses and processors — and is that interval measured rather than assumed?</t>
        </is>
      </c>
      <c r="AA29" s="33" t="inlineStr">
        <is>
          <t>Re-performance: withdraw consent for a test record and trace it across every downstream system, measuring elapsed time to cessation in each.</t>
        </is>
      </c>
      <c r="AB29" s="33" t="inlineStr">
        <is>
          <t>Measured cessation times across primary, secondary and vendor systems · Propagation mechanism from the consent store to downstream consumers · Exception log for systems where cessation is delayed or manual</t>
        </is>
      </c>
      <c r="AC29" s="33" t="inlineStr">
        <is>
          <t>Up to INR 50 crore</t>
        </is>
      </c>
      <c r="AD29" s="35" t="n">
        <v>7</v>
      </c>
      <c r="AE29" s="33" t="inlineStr">
        <is>
          <t>Withdrawal propagates to every consumer including processors within a measured and documented interval, exceptions are logged and owned, and tracing a test record confirms end-to-end cessation.</t>
        </is>
      </c>
    </row>
    <row r="30" ht="42" customHeight="1">
      <c r="A30" s="33" t="inlineStr">
        <is>
          <t>CON-07</t>
        </is>
      </c>
      <c r="B30" s="33" t="inlineStr">
        <is>
          <t>CON</t>
        </is>
      </c>
      <c r="C30" s="33" t="inlineStr">
        <is>
          <t>Consent</t>
        </is>
      </c>
      <c r="D30" s="33" t="inlineStr">
        <is>
          <t>Consent artefacts retained and provable</t>
        </is>
      </c>
      <c r="E30" s="33" t="inlineStr">
        <is>
          <t>Critical</t>
        </is>
      </c>
      <c r="F30" s="34">
        <f>IF(E30="Critical",4,IF(E30="High",3,IF(E30="Medium",2,1)))</f>
        <v/>
      </c>
      <c r="G30" s="35" t="n">
        <v>1.4</v>
      </c>
      <c r="H30" s="33" t="inlineStr">
        <is>
          <t>Yes</t>
        </is>
      </c>
      <c r="I30" s="33" t="inlineStr">
        <is>
          <t>in scope</t>
        </is>
      </c>
      <c r="J30" s="33" t="inlineStr">
        <is>
          <t>s.6(10), DPDP Act, 2023</t>
        </is>
      </c>
      <c r="K30" s="33" t="inlineStr">
        <is>
          <t>—</t>
        </is>
      </c>
      <c r="L30" s="33" t="inlineStr">
        <is>
          <t>—</t>
        </is>
      </c>
      <c r="M30" s="36" t="n">
        <v>1</v>
      </c>
      <c r="N30" s="34">
        <f>IF(OR(H30="No",M30="",UPPER(M30)="NA"),0,1)</f>
        <v/>
      </c>
      <c r="O30" s="37">
        <f>IF(H30="No","Out of scope",IF(UPPER(M30)="NA","Not applicable",IF(M30="","Not assessed",IF(M30&gt;=4,"Compliant",IF(M30&gt;=3,"Substantially compliant",IF(M30&gt;=2,"Partially compliant","Non-compliant"))))))</f>
        <v/>
      </c>
      <c r="P30" s="34">
        <f>IF(N30=0,"",F30*(4-M30))</f>
        <v/>
      </c>
      <c r="Q30" s="37">
        <f>IF(P30="","",IF(P30&gt;=12,"Critical",IF(P30&gt;=8,"High",IF(P30&gt;=4,"Medium",IF(P30&gt;=1,"Low","None")))))</f>
        <v/>
      </c>
      <c r="R30" s="34">
        <f>IF(AND(N30=1,M30&lt;3),1,0)</f>
        <v/>
      </c>
      <c r="S30" s="34">
        <f>IF(N30=0,"",M30*G30)</f>
        <v/>
      </c>
      <c r="T30" s="34">
        <f>IF(N30=0,"",4*G30)</f>
        <v/>
      </c>
      <c r="U30" s="27" t="inlineStr">
        <is>
          <t>The consent table records a current state per Data Principal with a single last-updated timestamp. It does not retain the notice version, the interface, the purposes in force at the time, or any history of change. For two of five sampled Data Principals the entity could not demonstrate what was consented to or when. The Act places the burden of proving valid consent on the Data Fiduciary and that burden could not presently be discharged.</t>
        </is>
      </c>
      <c r="V30" s="27" t="inlineStr">
        <is>
          <t>WP-046</t>
        </is>
      </c>
      <c r="W30" s="27" t="inlineStr">
        <is>
          <t>Devika Iyer, VP Engineering</t>
        </is>
      </c>
      <c r="X30" s="27" t="inlineStr"/>
      <c r="Y30" s="33" t="inlineStr">
        <is>
          <t>Where a question arises as to whether notice was given and consent obtained in accordance with the Act, the Data Fiduciary bears the burden of proving it.</t>
        </is>
      </c>
      <c r="Z30" s="33" t="inlineStr">
        <is>
          <t>For a given Data Principal, can the entity produce a tamper-evident record of what was consented to, when, through what interface, and against which version of the notice?</t>
        </is>
      </c>
      <c r="AA30" s="33" t="inlineStr">
        <is>
          <t>Re-performance: select three Data Principals at random and require production of the full consent artefact including notice version and interface reference.</t>
        </is>
      </c>
      <c r="AB30" s="33" t="inlineStr">
        <is>
          <t>Consent records capturing timestamp, purpose set, interface, notice version · Tamper-evidence or immutability controls over the consent store · Successful retrieval for randomly selected individuals</t>
        </is>
      </c>
      <c r="AC30" s="33" t="inlineStr">
        <is>
          <t>Up to INR 50 crore</t>
        </is>
      </c>
      <c r="AD30" s="35" t="n">
        <v>7</v>
      </c>
      <c r="AE30" s="33" t="inlineStr">
        <is>
          <t>Complete, tamper-evident artefacts capture purpose set, timestamp, interface and notice version, are retrievable on demand for any individual, and testing confirms retrieval.</t>
        </is>
      </c>
    </row>
    <row r="31" ht="42" customHeight="1">
      <c r="A31" s="33" t="inlineStr">
        <is>
          <t>CON-08</t>
        </is>
      </c>
      <c r="B31" s="33" t="inlineStr">
        <is>
          <t>CON</t>
        </is>
      </c>
      <c r="C31" s="33" t="inlineStr">
        <is>
          <t>Consent</t>
        </is>
      </c>
      <c r="D31" s="33" t="inlineStr">
        <is>
          <t>Consent refresh on material change of purpose</t>
        </is>
      </c>
      <c r="E31" s="33" t="inlineStr">
        <is>
          <t>High</t>
        </is>
      </c>
      <c r="F31" s="34">
        <f>IF(E31="Critical",4,IF(E31="High",3,IF(E31="Medium",2,1)))</f>
        <v/>
      </c>
      <c r="G31" s="35" t="n">
        <v>1.2</v>
      </c>
      <c r="H31" s="33" t="inlineStr">
        <is>
          <t>Yes</t>
        </is>
      </c>
      <c r="I31" s="33" t="inlineStr">
        <is>
          <t>in scope</t>
        </is>
      </c>
      <c r="J31" s="33" t="inlineStr">
        <is>
          <t>s.5(1), s.6(1), DPDP Act, 2023</t>
        </is>
      </c>
      <c r="K31" s="33" t="inlineStr">
        <is>
          <t>—</t>
        </is>
      </c>
      <c r="L31" s="33" t="inlineStr">
        <is>
          <t>—</t>
        </is>
      </c>
      <c r="M31" s="36" t="n">
        <v>1</v>
      </c>
      <c r="N31" s="34">
        <f>IF(OR(H31="No",M31="",UPPER(M31)="NA"),0,1)</f>
        <v/>
      </c>
      <c r="O31" s="37">
        <f>IF(H31="No","Out of scope",IF(UPPER(M31)="NA","Not applicable",IF(M31="","Not assessed",IF(M31&gt;=4,"Compliant",IF(M31&gt;=3,"Substantially compliant",IF(M31&gt;=2,"Partially compliant","Non-compliant"))))))</f>
        <v/>
      </c>
      <c r="P31" s="34">
        <f>IF(N31=0,"",F31*(4-M31))</f>
        <v/>
      </c>
      <c r="Q31" s="37">
        <f>IF(P31="","",IF(P31&gt;=12,"Critical",IF(P31&gt;=8,"High",IF(P31&gt;=4,"Medium",IF(P31&gt;=1,"Low","None")))))</f>
        <v/>
      </c>
      <c r="R31" s="34">
        <f>IF(AND(N31=1,M31&lt;3),1,0)</f>
        <v/>
      </c>
      <c r="S31" s="34">
        <f>IF(N31=0,"",M31*G31)</f>
        <v/>
      </c>
      <c r="T31" s="34">
        <f>IF(N31=0,"",4*G31)</f>
        <v/>
      </c>
      <c r="U31" s="27" t="inlineStr">
        <is>
          <t>Purposes were extended twice in the period — advertising segments in September 2025 and the churn model in January 2026 — without a fresh notice or fresh consent. Existing consent was treated as covering the new purposes on the basis of the general 'improve our services' wording.</t>
        </is>
      </c>
      <c r="V31" s="27" t="inlineStr">
        <is>
          <t>WP-047</t>
        </is>
      </c>
      <c r="W31" s="27" t="inlineStr">
        <is>
          <t>Meera Raghunathan, Head of Legal &amp; Compliance</t>
        </is>
      </c>
      <c r="X31" s="27" t="inlineStr"/>
      <c r="Y31" s="33" t="inlineStr">
        <is>
          <t>Consent is specific to the purpose for which it was given. A material change in purpose requires fresh notice and fresh consent; it cannot be effected by amending a policy.</t>
        </is>
      </c>
      <c r="Z31" s="33" t="inlineStr">
        <is>
          <t>When purposes change materially, is fresh consent obtained — or is the change implemented by updating the privacy policy and treating continued use as acceptance?</t>
        </is>
      </c>
      <c r="AA31" s="33" t="inlineStr">
        <is>
          <t>Inspect the change history of purposes and the corresponding consent events; test whether recent material changes triggered re-consent.</t>
        </is>
      </c>
      <c r="AB31" s="33" t="inlineStr">
        <is>
          <t>Change log of processing purposes with materiality assessment · Re-consent campaigns tied to material changes · Evidence that continued use is not treated as consent to new purposes</t>
        </is>
      </c>
      <c r="AC31" s="33" t="inlineStr">
        <is>
          <t>Up to INR 50 crore</t>
        </is>
      </c>
      <c r="AD31" s="35" t="n">
        <v>7</v>
      </c>
      <c r="AE31" s="33" t="inlineStr">
        <is>
          <t>A documented materiality test governs whether re-consent is required, is consistently applied with evidence of re-consent campaigns, and continued use is never treated as agreement to new purposes.</t>
        </is>
      </c>
    </row>
    <row r="32" ht="42" customHeight="1">
      <c r="A32" s="33" t="inlineStr">
        <is>
          <t>CMG-01</t>
        </is>
      </c>
      <c r="B32" s="33" t="inlineStr">
        <is>
          <t>CMG</t>
        </is>
      </c>
      <c r="C32" s="33" t="inlineStr">
        <is>
          <t>Consent Manager</t>
        </is>
      </c>
      <c r="D32" s="33" t="inlineStr">
        <is>
          <t>Consent Manager relied upon is registered with the Board</t>
        </is>
      </c>
      <c r="E32" s="33" t="inlineStr">
        <is>
          <t>High</t>
        </is>
      </c>
      <c r="F32" s="34">
        <f>IF(E32="Critical",4,IF(E32="High",3,IF(E32="Medium",2,1)))</f>
        <v/>
      </c>
      <c r="G32" s="35" t="n">
        <v>1.2</v>
      </c>
      <c r="H32" s="33" t="inlineStr">
        <is>
          <t>Yes</t>
        </is>
      </c>
      <c r="I32" s="33" t="inlineStr">
        <is>
          <t>in scope</t>
        </is>
      </c>
      <c r="J32" s="33" t="inlineStr">
        <is>
          <t>s.6(7), s.6(8), DPDP Act, 2023</t>
        </is>
      </c>
      <c r="K32" s="33" t="inlineStr">
        <is>
          <t>[Rules citation to be verified]</t>
        </is>
      </c>
      <c r="L32" s="33" t="inlineStr">
        <is>
          <t>VERIFY_AGAINST_NOTIFIED_RULES</t>
        </is>
      </c>
      <c r="M32" s="36" t="n">
        <v>3</v>
      </c>
      <c r="N32" s="34">
        <f>IF(OR(H32="No",M32="",UPPER(M32)="NA"),0,1)</f>
        <v/>
      </c>
      <c r="O32" s="37">
        <f>IF(H32="No","Out of scope",IF(UPPER(M32)="NA","Not applicable",IF(M32="","Not assessed",IF(M32&gt;=4,"Compliant",IF(M32&gt;=3,"Substantially compliant",IF(M32&gt;=2,"Partially compliant","Non-compliant"))))))</f>
        <v/>
      </c>
      <c r="P32" s="34">
        <f>IF(N32=0,"",F32*(4-M32))</f>
        <v/>
      </c>
      <c r="Q32" s="37">
        <f>IF(P32="","",IF(P32&gt;=12,"Critical",IF(P32&gt;=8,"High",IF(P32&gt;=4,"Medium",IF(P32&gt;=1,"Low","None")))))</f>
        <v/>
      </c>
      <c r="R32" s="34">
        <f>IF(AND(N32=1,M32&lt;3),1,0)</f>
        <v/>
      </c>
      <c r="S32" s="34">
        <f>IF(N32=0,"",M32*G32)</f>
        <v/>
      </c>
      <c r="T32" s="34">
        <f>IF(N32=0,"",4*G32)</f>
        <v/>
      </c>
      <c r="U32" s="27" t="inlineStr">
        <is>
          <t>The account aggregator relied upon is an RBI-licensed NBFC-AA and the entity holds its certificate on file. Registration specifically as a Consent Manager with the Data Protection Board has not been confirmed, and the entity has no process for periodic re-confirmation of that status.</t>
        </is>
      </c>
      <c r="V32" s="27" t="inlineStr">
        <is>
          <t>WP-050</t>
        </is>
      </c>
      <c r="W32" s="27" t="inlineStr">
        <is>
          <t>Meera Raghunathan, Head of Legal &amp; Compliance</t>
        </is>
      </c>
      <c r="X32" s="27" t="inlineStr"/>
      <c r="Y32" s="33" t="inlineStr">
        <is>
          <t>A Data Principal may give, manage, review and withdraw consent through a Consent Manager, which must be registered with the Board and must act on behalf of and be accountable to the Data Principal.</t>
        </is>
      </c>
      <c r="Z32" s="33" t="inlineStr">
        <is>
          <t>Where consent is received via a Consent Manager, has the entity verified that intermediary's registration with the Board, and does it re-verify periodically?</t>
        </is>
      </c>
      <c r="AA32" s="33" t="inlineStr">
        <is>
          <t>Inspect verification records against the Board's register of Consent Managers; enquire as to the re-verification cycle.</t>
        </is>
      </c>
      <c r="AB32" s="33" t="inlineStr">
        <is>
          <t>Registration verification evidence for each Consent Manager relied upon · Contractual terms addressing registration status and notification of change · Periodic re-verification records</t>
        </is>
      </c>
      <c r="AC32" s="33" t="inlineStr">
        <is>
          <t>Up to INR 50 crore</t>
        </is>
      </c>
      <c r="AD32" s="35" t="n">
        <v>7</v>
      </c>
      <c r="AE32" s="33" t="inlineStr">
        <is>
          <t>Registration is verified at onboarding and periodically thereafter, the contract requires immediate notification of any change in status, and a contingency exists for withdrawal of registration.</t>
        </is>
      </c>
    </row>
    <row r="33" ht="42" customHeight="1">
      <c r="A33" s="33" t="inlineStr">
        <is>
          <t>CMG-02</t>
        </is>
      </c>
      <c r="B33" s="33" t="inlineStr">
        <is>
          <t>CMG</t>
        </is>
      </c>
      <c r="C33" s="33" t="inlineStr">
        <is>
          <t>Consent Manager</t>
        </is>
      </c>
      <c r="D33" s="33" t="inlineStr">
        <is>
          <t>Consent Manager interface integrity and record reconciliation</t>
        </is>
      </c>
      <c r="E33" s="33" t="inlineStr">
        <is>
          <t>High</t>
        </is>
      </c>
      <c r="F33" s="34">
        <f>IF(E33="Critical",4,IF(E33="High",3,IF(E33="Medium",2,1)))</f>
        <v/>
      </c>
      <c r="G33" s="35" t="n">
        <v>1.1</v>
      </c>
      <c r="H33" s="33" t="inlineStr">
        <is>
          <t>Yes</t>
        </is>
      </c>
      <c r="I33" s="33" t="inlineStr">
        <is>
          <t>in scope</t>
        </is>
      </c>
      <c r="J33" s="33" t="inlineStr">
        <is>
          <t>s.6(7), s.6(10), s.8(1), DPDP Act, 2023</t>
        </is>
      </c>
      <c r="K33" s="33" t="inlineStr">
        <is>
          <t>[Rules citation to be verified]</t>
        </is>
      </c>
      <c r="L33" s="33" t="inlineStr">
        <is>
          <t>VERIFY_AGAINST_NOTIFIED_RULES</t>
        </is>
      </c>
      <c r="M33" s="36" t="n">
        <v>2</v>
      </c>
      <c r="N33" s="34">
        <f>IF(OR(H33="No",M33="",UPPER(M33)="NA"),0,1)</f>
        <v/>
      </c>
      <c r="O33" s="37">
        <f>IF(H33="No","Out of scope",IF(UPPER(M33)="NA","Not applicable",IF(M33="","Not assessed",IF(M33&gt;=4,"Compliant",IF(M33&gt;=3,"Substantially compliant",IF(M33&gt;=2,"Partially compliant","Non-compliant"))))))</f>
        <v/>
      </c>
      <c r="P33" s="34">
        <f>IF(N33=0,"",F33*(4-M33))</f>
        <v/>
      </c>
      <c r="Q33" s="37">
        <f>IF(P33="","",IF(P33&gt;=12,"Critical",IF(P33&gt;=8,"High",IF(P33&gt;=4,"Medium",IF(P33&gt;=1,"Low","None")))))</f>
        <v/>
      </c>
      <c r="R33" s="34">
        <f>IF(AND(N33=1,M33&lt;3),1,0)</f>
        <v/>
      </c>
      <c r="S33" s="34">
        <f>IF(N33=0,"",M33*G33)</f>
        <v/>
      </c>
      <c r="T33" s="34">
        <f>IF(N33=0,"",4*G33)</f>
        <v/>
      </c>
      <c r="U33" s="27" t="inlineStr">
        <is>
          <t>Consent artefacts received through the aggregator are stored and the data fetch is scoped to the artefact. Reconciliation between artefacts held by the aggregator and consents recorded internally is not performed, so a revoked artefact would not necessarily stop an internal reuse of previously fetched financial information.</t>
        </is>
      </c>
      <c r="V33" s="27" t="inlineStr">
        <is>
          <t>WP-051</t>
        </is>
      </c>
      <c r="W33" s="27" t="inlineStr">
        <is>
          <t>Devika Iyer, VP Engineering</t>
        </is>
      </c>
      <c r="X33" s="27" t="inlineStr"/>
      <c r="Y33" s="33" t="inlineStr">
        <is>
          <t>Reliance on a Consent Manager does not displace the Data Fiduciary's own accountability under section 8(1) or its burden of proof under section 6(10).</t>
        </is>
      </c>
      <c r="Z33" s="33" t="inlineStr">
        <is>
          <t>Are consent records received from the Consent Manager reconciled against the entity's own processing, so that a withdrawal registered with the intermediary reliably reaches and halts the entity's systems?</t>
        </is>
      </c>
      <c r="AA33" s="33" t="inlineStr">
        <is>
          <t>Re-performance: register a withdrawal through the Consent Manager and trace propagation into the entity's systems; inspect reconciliation controls and exception handling.</t>
        </is>
      </c>
      <c r="AB33" s="33" t="inlineStr">
        <is>
          <t>Integration design and reconciliation controls between the intermediary and internal consent state · Exception reports for failed or delayed synchronisation · End-to-end test evidence for a withdrawal originating at the intermediary</t>
        </is>
      </c>
      <c r="AC33" s="33" t="inlineStr">
        <is>
          <t>Up to INR 50 crore</t>
        </is>
      </c>
      <c r="AD33" s="35" t="n">
        <v>7</v>
      </c>
      <c r="AE33" s="33" t="inlineStr">
        <is>
          <t>Automated reconciliation with exception alerting is in place, withdrawal propagation is tested end to end, and the entity retains its own provable consent state.</t>
        </is>
      </c>
    </row>
    <row r="34" ht="42" customHeight="1">
      <c r="A34" s="38" t="inlineStr">
        <is>
          <t>CMG-03</t>
        </is>
      </c>
      <c r="B34" s="38" t="inlineStr">
        <is>
          <t>CMG</t>
        </is>
      </c>
      <c r="C34" s="38" t="inlineStr">
        <is>
          <t>Consent Manager</t>
        </is>
      </c>
      <c r="D34" s="38" t="inlineStr">
        <is>
          <t>Own registration and obligations where acting as a Consent Manager</t>
        </is>
      </c>
      <c r="E34" s="38" t="inlineStr">
        <is>
          <t>Critical</t>
        </is>
      </c>
      <c r="F34" s="39">
        <f>IF(E34="Critical",4,IF(E34="High",3,IF(E34="Medium",2,1)))</f>
        <v/>
      </c>
      <c r="G34" s="40" t="n">
        <v>1.2</v>
      </c>
      <c r="H34" s="38" t="inlineStr">
        <is>
          <t>No</t>
        </is>
      </c>
      <c r="I34" s="38" t="inlineStr">
        <is>
          <t>requires is_consent_manager</t>
        </is>
      </c>
      <c r="J34" s="38" t="inlineStr">
        <is>
          <t>s.6(8), s.6(9), DPDP Act, 2023</t>
        </is>
      </c>
      <c r="K34" s="38" t="inlineStr">
        <is>
          <t>[Rules citation to be verified]</t>
        </is>
      </c>
      <c r="L34" s="38" t="inlineStr">
        <is>
          <t>VERIFY_AGAINST_NOTIFIED_RULES</t>
        </is>
      </c>
      <c r="M34" s="36" t="inlineStr"/>
      <c r="N34" s="39">
        <f>IF(OR(H34="No",M34="",UPPER(M34)="NA"),0,1)</f>
        <v/>
      </c>
      <c r="O34" s="41">
        <f>IF(H34="No","Out of scope",IF(UPPER(M34)="NA","Not applicable",IF(M34="","Not assessed",IF(M34&gt;=4,"Compliant",IF(M34&gt;=3,"Substantially compliant",IF(M34&gt;=2,"Partially compliant","Non-compliant"))))))</f>
        <v/>
      </c>
      <c r="P34" s="39">
        <f>IF(N34=0,"",F34*(4-M34))</f>
        <v/>
      </c>
      <c r="Q34" s="41">
        <f>IF(P34="","",IF(P34&gt;=12,"Critical",IF(P34&gt;=8,"High",IF(P34&gt;=4,"Medium",IF(P34&gt;=1,"Low","None")))))</f>
        <v/>
      </c>
      <c r="R34" s="39">
        <f>IF(AND(N34=1,M34&lt;3),1,0)</f>
        <v/>
      </c>
      <c r="S34" s="39">
        <f>IF(N34=0,"",M34*G34)</f>
        <v/>
      </c>
      <c r="T34" s="39">
        <f>IF(N34=0,"",4*G34)</f>
        <v/>
      </c>
      <c r="U34" s="42" t="inlineStr"/>
      <c r="V34" s="42" t="inlineStr"/>
      <c r="W34" s="42" t="inlineStr"/>
      <c r="X34" s="42" t="inlineStr"/>
      <c r="Y34" s="38" t="inlineStr">
        <is>
          <t>An entity acting as a Consent Manager must be registered with the Board, subject to prescribed conditions, and must discharge the obligations of that role including accountability to the Data Principal.</t>
        </is>
      </c>
      <c r="Z34" s="38" t="inlineStr">
        <is>
          <t>If the entity itself acts as a Consent Manager, is it registered, does it meet the prescribed conditions on a continuing basis, and can it evidence accountability to Data Principals rather than to the Data Fiduciaries paying it?</t>
        </is>
      </c>
      <c r="AA34" s="38" t="inlineStr">
        <is>
          <t>Inspect registration, continuing compliance with prescribed conditions, and the operational independence of the Data Principal-facing function.</t>
        </is>
      </c>
      <c r="AB34" s="38" t="inlineStr">
        <is>
          <t>Certificate or evidence of registration with the Board · Continuing compliance monitoring against the prescribed conditions · Governance evidencing accountability to Data Principals, including conflict management</t>
        </is>
      </c>
      <c r="AC34" s="38" t="inlineStr">
        <is>
          <t>Up to INR 50 crore</t>
        </is>
      </c>
      <c r="AD34" s="40" t="n">
        <v>7</v>
      </c>
      <c r="AE34" s="38" t="inlineStr">
        <is>
          <t>Registered, with continuing compliance actively monitored, and demonstrable governance — including conflict-of-interest management — establishing accountability to Data Principals.</t>
        </is>
      </c>
    </row>
    <row r="35" ht="42" customHeight="1">
      <c r="A35" s="33" t="inlineStr">
        <is>
          <t>LGU-01</t>
        </is>
      </c>
      <c r="B35" s="33" t="inlineStr">
        <is>
          <t>LGU</t>
        </is>
      </c>
      <c r="C35" s="33" t="inlineStr">
        <is>
          <t>Legitimate Uses</t>
        </is>
      </c>
      <c r="D35" s="33" t="inlineStr">
        <is>
          <t>Legitimate use relied upon is a specific statutory limb</t>
        </is>
      </c>
      <c r="E35" s="33" t="inlineStr">
        <is>
          <t>Critical</t>
        </is>
      </c>
      <c r="F35" s="34">
        <f>IF(E35="Critical",4,IF(E35="High",3,IF(E35="Medium",2,1)))</f>
        <v/>
      </c>
      <c r="G35" s="35" t="n">
        <v>1.3</v>
      </c>
      <c r="H35" s="33" t="inlineStr">
        <is>
          <t>Yes</t>
        </is>
      </c>
      <c r="I35" s="33" t="inlineStr">
        <is>
          <t>in scope</t>
        </is>
      </c>
      <c r="J35" s="33" t="inlineStr">
        <is>
          <t>s.7, DPDP Act, 2023</t>
        </is>
      </c>
      <c r="K35" s="33" t="inlineStr">
        <is>
          <t>—</t>
        </is>
      </c>
      <c r="L35" s="33" t="inlineStr">
        <is>
          <t>—</t>
        </is>
      </c>
      <c r="M35" s="36" t="n">
        <v>2</v>
      </c>
      <c r="N35" s="34">
        <f>IF(OR(H35="No",M35="",UPPER(M35)="NA"),0,1)</f>
        <v/>
      </c>
      <c r="O35" s="37">
        <f>IF(H35="No","Out of scope",IF(UPPER(M35)="NA","Not applicable",IF(M35="","Not assessed",IF(M35&gt;=4,"Compliant",IF(M35&gt;=3,"Substantially compliant",IF(M35&gt;=2,"Partially compliant","Non-compliant"))))))</f>
        <v/>
      </c>
      <c r="P35" s="34">
        <f>IF(N35=0,"",F35*(4-M35))</f>
        <v/>
      </c>
      <c r="Q35" s="37">
        <f>IF(P35="","",IF(P35&gt;=12,"Critical",IF(P35&gt;=8,"High",IF(P35&gt;=4,"Medium",IF(P35&gt;=1,"Low","None")))))</f>
        <v/>
      </c>
      <c r="R35" s="34">
        <f>IF(AND(N35=1,M35&lt;3),1,0)</f>
        <v/>
      </c>
      <c r="S35" s="34">
        <f>IF(N35=0,"",M35*G35)</f>
        <v/>
      </c>
      <c r="T35" s="34">
        <f>IF(N35=0,"",4*G35)</f>
        <v/>
      </c>
      <c r="U35" s="27" t="inlineStr">
        <is>
          <t>Where consent is not relied upon, the entity's documentation cites 'legitimate use' generically rather than identifying the specific statutory limb. Two activities — fraud analytics using device signals, and the credit bureau reporting of repayment behaviour — rest on limbs that do not on their terms extend to that processing.</t>
        </is>
      </c>
      <c r="V35" s="27" t="inlineStr">
        <is>
          <t>WP-055</t>
        </is>
      </c>
      <c r="W35" s="27" t="inlineStr">
        <is>
          <t>Meera Raghunathan, Head of Legal &amp; Compliance</t>
        </is>
      </c>
      <c r="X35" s="27" t="inlineStr"/>
      <c r="Y35" s="33" t="inlineStr">
        <is>
          <t>Processing without consent is permitted only for the certain legitimate uses enumerated in section 7. The list is closed; there is no general balancing or legitimate-interests ground.</t>
        </is>
      </c>
      <c r="Z35" s="33" t="inlineStr">
        <is>
          <t>For every activity proceeding without consent, is the specific section 7 limb identified and defensible — and has the entity avoided importing a legitimate-interests analysis from another regime?</t>
        </is>
      </c>
      <c r="AA35" s="33" t="inlineStr">
        <is>
          <t>Inspect the basis register; re-perform the analysis for each legitimate use relied upon, testing the fit against the statutory wording.</t>
        </is>
      </c>
      <c r="AB35" s="33" t="inlineStr">
        <is>
          <t>Identification of the specific limb, by sub-clause, for each activity · Written analysis of why the activity falls within it · Absence of reliance on a general balancing test</t>
        </is>
      </c>
      <c r="AC35" s="33" t="inlineStr">
        <is>
          <t>Up to INR 50 crore</t>
        </is>
      </c>
      <c r="AD35" s="35" t="n">
        <v>7</v>
      </c>
      <c r="AE35" s="33" t="inlineStr">
        <is>
          <t>Each reliance cites a specific sub-clause with a documented, defensible analysis, reviewed by legal, and reliance is narrowly confined to what the limb actually authorises.</t>
        </is>
      </c>
    </row>
    <row r="36" ht="42" customHeight="1">
      <c r="A36" s="33" t="inlineStr">
        <is>
          <t>LGU-02</t>
        </is>
      </c>
      <c r="B36" s="33" t="inlineStr">
        <is>
          <t>LGU</t>
        </is>
      </c>
      <c r="C36" s="33" t="inlineStr">
        <is>
          <t>Legitimate Uses</t>
        </is>
      </c>
      <c r="D36" s="33" t="inlineStr">
        <is>
          <t>Employment-purposes limb correctly scoped</t>
        </is>
      </c>
      <c r="E36" s="33" t="inlineStr">
        <is>
          <t>High</t>
        </is>
      </c>
      <c r="F36" s="34">
        <f>IF(E36="Critical",4,IF(E36="High",3,IF(E36="Medium",2,1)))</f>
        <v/>
      </c>
      <c r="G36" s="35" t="n">
        <v>1.2</v>
      </c>
      <c r="H36" s="33" t="inlineStr">
        <is>
          <t>Yes</t>
        </is>
      </c>
      <c r="I36" s="33" t="inlineStr">
        <is>
          <t>in scope</t>
        </is>
      </c>
      <c r="J36" s="33" t="inlineStr">
        <is>
          <t>s.7(i), DPDP Act, 2023</t>
        </is>
      </c>
      <c r="K36" s="33" t="inlineStr">
        <is>
          <t>—</t>
        </is>
      </c>
      <c r="L36" s="33" t="inlineStr">
        <is>
          <t>—</t>
        </is>
      </c>
      <c r="M36" s="36" t="n">
        <v>3</v>
      </c>
      <c r="N36" s="34">
        <f>IF(OR(H36="No",M36="",UPPER(M36)="NA"),0,1)</f>
        <v/>
      </c>
      <c r="O36" s="37">
        <f>IF(H36="No","Out of scope",IF(UPPER(M36)="NA","Not applicable",IF(M36="","Not assessed",IF(M36&gt;=4,"Compliant",IF(M36&gt;=3,"Substantially compliant",IF(M36&gt;=2,"Partially compliant","Non-compliant"))))))</f>
        <v/>
      </c>
      <c r="P36" s="34">
        <f>IF(N36=0,"",F36*(4-M36))</f>
        <v/>
      </c>
      <c r="Q36" s="37">
        <f>IF(P36="","",IF(P36&gt;=12,"Critical",IF(P36&gt;=8,"High",IF(P36&gt;=4,"Medium",IF(P36&gt;=1,"Low","None")))))</f>
        <v/>
      </c>
      <c r="R36" s="34">
        <f>IF(AND(N36=1,M36&lt;3),1,0)</f>
        <v/>
      </c>
      <c r="S36" s="34">
        <f>IF(N36=0,"",M36*G36)</f>
        <v/>
      </c>
      <c r="T36" s="34">
        <f>IF(N36=0,"",4*G36)</f>
        <v/>
      </c>
      <c r="U36" s="27" t="inlineStr">
        <is>
          <t>Employment-purpose processing is documented for payroll, benefits and performance. The collections team's screen and keystroke monitoring is also placed under this limb; the connection to safeguarding the employer from loss or to provision of a service to the employee is asserted rather than evidenced, and employees have not been informed of the monitoring.</t>
        </is>
      </c>
      <c r="V36" s="27" t="inlineStr">
        <is>
          <t>WP-056</t>
        </is>
      </c>
      <c r="W36" s="27" t="inlineStr">
        <is>
          <t>Sneha Kulkarni, Head of People</t>
        </is>
      </c>
      <c r="X36" s="27" t="inlineStr"/>
      <c r="Y36" s="33" t="inlineStr">
        <is>
          <t>Processing is a legitimate use where it is necessary for purposes of employment, or those related to safeguarding the employer from loss or liability, such as prevention of corporate espionage, maintenance of confidentiality of trade secrets or intellectual property, or provision of any service or benefit sought by an employee.</t>
        </is>
      </c>
      <c r="Z36" s="33" t="inlineStr">
        <is>
          <t>Where employee data is processed under section 7(i), is each use necessary for employment or for safeguarding against loss or liability — and does the entity avoid treating the limb as blanket authority for all employee monitoring?</t>
        </is>
      </c>
      <c r="AA36" s="33" t="inlineStr">
        <is>
          <t>Inspect employee data processing inventory; test each monitoring or analytics use against the necessity standard in the limb.</t>
        </is>
      </c>
      <c r="AB36" s="33" t="inlineStr">
        <is>
          <t>Inventory of employee data processing with the limb mapped per use · Necessity analysis for monitoring, productivity analytics and surveillance · Employee-facing transparency documentation</t>
        </is>
      </c>
      <c r="AC36" s="33" t="inlineStr">
        <is>
          <t>Up to INR 50 crore</t>
        </is>
      </c>
      <c r="AD36" s="35" t="n">
        <v>7</v>
      </c>
      <c r="AE36" s="33" t="inlineStr">
        <is>
          <t>Each use is mapped to the limb with a documented necessity analysis, intrusive monitoring is separately justified and proportionate, and employees are informed.</t>
        </is>
      </c>
    </row>
    <row r="37" ht="42" customHeight="1">
      <c r="A37" s="33" t="inlineStr">
        <is>
          <t>LGU-03</t>
        </is>
      </c>
      <c r="B37" s="33" t="inlineStr">
        <is>
          <t>LGU</t>
        </is>
      </c>
      <c r="C37" s="33" t="inlineStr">
        <is>
          <t>Legitimate Uses</t>
        </is>
      </c>
      <c r="D37" s="33" t="inlineStr">
        <is>
          <t>Voluntary provision limb not over-extended</t>
        </is>
      </c>
      <c r="E37" s="33" t="inlineStr">
        <is>
          <t>Medium</t>
        </is>
      </c>
      <c r="F37" s="34">
        <f>IF(E37="Critical",4,IF(E37="High",3,IF(E37="Medium",2,1)))</f>
        <v/>
      </c>
      <c r="G37" s="35" t="n">
        <v>1</v>
      </c>
      <c r="H37" s="33" t="inlineStr">
        <is>
          <t>Yes</t>
        </is>
      </c>
      <c r="I37" s="33" t="inlineStr">
        <is>
          <t>in scope</t>
        </is>
      </c>
      <c r="J37" s="33" t="inlineStr">
        <is>
          <t>s.7(a), DPDP Act, 2023</t>
        </is>
      </c>
      <c r="K37" s="33" t="inlineStr">
        <is>
          <t>—</t>
        </is>
      </c>
      <c r="L37" s="33" t="inlineStr">
        <is>
          <t>—</t>
        </is>
      </c>
      <c r="M37" s="36" t="n">
        <v>3</v>
      </c>
      <c r="N37" s="34">
        <f>IF(OR(H37="No",M37="",UPPER(M37)="NA"),0,1)</f>
        <v/>
      </c>
      <c r="O37" s="37">
        <f>IF(H37="No","Out of scope",IF(UPPER(M37)="NA","Not applicable",IF(M37="","Not assessed",IF(M37&gt;=4,"Compliant",IF(M37&gt;=3,"Substantially compliant",IF(M37&gt;=2,"Partially compliant","Non-compliant"))))))</f>
        <v/>
      </c>
      <c r="P37" s="34">
        <f>IF(N37=0,"",F37*(4-M37))</f>
        <v/>
      </c>
      <c r="Q37" s="37">
        <f>IF(P37="","",IF(P37&gt;=12,"Critical",IF(P37&gt;=8,"High",IF(P37&gt;=4,"Medium",IF(P37&gt;=1,"Low","None")))))</f>
        <v/>
      </c>
      <c r="R37" s="34">
        <f>IF(AND(N37=1,M37&lt;3),1,0)</f>
        <v/>
      </c>
      <c r="S37" s="34">
        <f>IF(N37=0,"",M37*G37)</f>
        <v/>
      </c>
      <c r="T37" s="34">
        <f>IF(N37=0,"",4*G37)</f>
        <v/>
      </c>
      <c r="U37" s="27" t="inlineStr">
        <is>
          <t>Voluntary provision is relied upon for support interactions initiated by the Data Principal, which is appropriate. The same limb is stretched to cover retention of call recordings for model training, which is a different purpose from the one for which the data was voluntarily provided.</t>
        </is>
      </c>
      <c r="V37" s="27" t="inlineStr">
        <is>
          <t>WP-057</t>
        </is>
      </c>
      <c r="W37" s="27" t="inlineStr">
        <is>
          <t>Anita Desai, Head of Customer Experience</t>
        </is>
      </c>
      <c r="X37" s="27" t="inlineStr"/>
      <c r="Y37" s="33" t="inlineStr">
        <is>
          <t>Processing is a legitimate use where the Data Principal has voluntarily provided personal data for a specified purpose and has not indicated objection, but only for that purpose.</t>
        </is>
      </c>
      <c r="Z37" s="33" t="inlineStr">
        <is>
          <t>Where the voluntary-provision limb is relied upon, is processing confined to the specific purpose for which the data was volunteered, and is there a working mechanism for the Data Principal to object?</t>
        </is>
      </c>
      <c r="AA37" s="33" t="inlineStr">
        <is>
          <t>Inspect the activities relying on this limb; test whether processing extends beyond the volunteered purpose and whether objection is operable.</t>
        </is>
      </c>
      <c r="AB37" s="33" t="inlineStr">
        <is>
          <t>Identification of the purpose for which data was volunteered, per activity · Controls confining processing to that purpose · Operable objection mechanism with evidence of objections honoured</t>
        </is>
      </c>
      <c r="AC37" s="33" t="inlineStr">
        <is>
          <t>Up to INR 50 crore</t>
        </is>
      </c>
      <c r="AD37" s="35" t="n">
        <v>7</v>
      </c>
      <c r="AE37" s="33" t="inlineStr">
        <is>
          <t>Processing is technically and procedurally confined to the volunteered purpose, an operable objection mechanism exists, and objections are evidenced as honoured.</t>
        </is>
      </c>
    </row>
    <row r="38" ht="42" customHeight="1">
      <c r="A38" s="33" t="inlineStr">
        <is>
          <t>RET-01</t>
        </is>
      </c>
      <c r="B38" s="33" t="inlineStr">
        <is>
          <t>RET</t>
        </is>
      </c>
      <c r="C38" s="33" t="inlineStr">
        <is>
          <t>Retention &amp; Erasure</t>
        </is>
      </c>
      <c r="D38" s="33" t="inlineStr">
        <is>
          <t>Retention schedule defined per data category and purpose</t>
        </is>
      </c>
      <c r="E38" s="33" t="inlineStr">
        <is>
          <t>High</t>
        </is>
      </c>
      <c r="F38" s="34">
        <f>IF(E38="Critical",4,IF(E38="High",3,IF(E38="Medium",2,1)))</f>
        <v/>
      </c>
      <c r="G38" s="35" t="n">
        <v>1.2</v>
      </c>
      <c r="H38" s="33" t="inlineStr">
        <is>
          <t>Yes</t>
        </is>
      </c>
      <c r="I38" s="33" t="inlineStr">
        <is>
          <t>in scope</t>
        </is>
      </c>
      <c r="J38" s="33" t="inlineStr">
        <is>
          <t>s.8(7), DPDP Act, 2023</t>
        </is>
      </c>
      <c r="K38" s="33" t="inlineStr">
        <is>
          <t>[Rules citation to be verified]</t>
        </is>
      </c>
      <c r="L38" s="33" t="inlineStr">
        <is>
          <t>VERIFY_AGAINST_NOTIFIED_RULES</t>
        </is>
      </c>
      <c r="M38" s="36" t="n">
        <v>2</v>
      </c>
      <c r="N38" s="34">
        <f>IF(OR(H38="No",M38="",UPPER(M38)="NA"),0,1)</f>
        <v/>
      </c>
      <c r="O38" s="37">
        <f>IF(H38="No","Out of scope",IF(UPPER(M38)="NA","Not applicable",IF(M38="","Not assessed",IF(M38&gt;=4,"Compliant",IF(M38&gt;=3,"Substantially compliant",IF(M38&gt;=2,"Partially compliant","Non-compliant"))))))</f>
        <v/>
      </c>
      <c r="P38" s="34">
        <f>IF(N38=0,"",F38*(4-M38))</f>
        <v/>
      </c>
      <c r="Q38" s="37">
        <f>IF(P38="","",IF(P38&gt;=12,"Critical",IF(P38&gt;=8,"High",IF(P38&gt;=4,"Medium",IF(P38&gt;=1,"Low","None")))))</f>
        <v/>
      </c>
      <c r="R38" s="34">
        <f>IF(AND(N38=1,M38&lt;3),1,0)</f>
        <v/>
      </c>
      <c r="S38" s="34">
        <f>IF(N38=0,"",M38*G38)</f>
        <v/>
      </c>
      <c r="T38" s="34">
        <f>IF(N38=0,"",4*G38)</f>
        <v/>
      </c>
      <c r="U38" s="27" t="inlineStr">
        <is>
          <t>A retention schedule exists but is expressed at system level rather than by data category and purpose, and defaults to 'as required by applicable law' for 11 of 19 systems. Snowflake and the S3 data lake have no defined retention period at all; the oldest personal data located during testing dated from 2019.</t>
        </is>
      </c>
      <c r="V38" s="27" t="inlineStr">
        <is>
          <t>WP-060</t>
        </is>
      </c>
      <c r="W38" s="27" t="inlineStr">
        <is>
          <t>Devika Iyer, VP Engineering</t>
        </is>
      </c>
      <c r="X38" s="27" t="inlineStr"/>
      <c r="Y38" s="33" t="inlineStr">
        <is>
          <t>Personal data must be erased on withdrawal of consent or as soon as it is reasonable to assume the specified purpose is no longer being served, whichever is earlier, unless retention is necessary for compliance with law.</t>
        </is>
      </c>
      <c r="Z38" s="33" t="inlineStr">
        <is>
          <t>Is there a retention schedule stating, per data category and purpose, how long data is kept and on what legal footing — with retention beyond purpose justified by a specific legal requirement rather than by general prudence?</t>
        </is>
      </c>
      <c r="AA38" s="33" t="inlineStr">
        <is>
          <t>Inspect the retention schedule against the processing register; test the stated legal basis for each retention period exceeding the purpose.</t>
        </is>
      </c>
      <c r="AB38" s="33" t="inlineStr">
        <is>
          <t>Retention schedule mapped to data categories and purposes · Specific statutory or regulatory citation for each extended retention period · Approval and periodic review records</t>
        </is>
      </c>
      <c r="AC38" s="33" t="inlineStr">
        <is>
          <t>Up to INR 50 crore</t>
        </is>
      </c>
      <c r="AD38" s="35" t="n">
        <v>7</v>
      </c>
      <c r="AE38" s="33" t="inlineStr">
        <is>
          <t>A complete schedule covers every category and purpose, each extended period cites the specific legal requirement, and the schedule is reviewed and approved on a defined cycle.</t>
        </is>
      </c>
    </row>
    <row r="39" ht="42" customHeight="1">
      <c r="A39" s="33" t="inlineStr">
        <is>
          <t>RET-02</t>
        </is>
      </c>
      <c r="B39" s="33" t="inlineStr">
        <is>
          <t>RET</t>
        </is>
      </c>
      <c r="C39" s="33" t="inlineStr">
        <is>
          <t>Retention &amp; Erasure</t>
        </is>
      </c>
      <c r="D39" s="33" t="inlineStr">
        <is>
          <t>Erasure on withdrawal of consent or purpose completion</t>
        </is>
      </c>
      <c r="E39" s="33" t="inlineStr">
        <is>
          <t>Critical</t>
        </is>
      </c>
      <c r="F39" s="34">
        <f>IF(E39="Critical",4,IF(E39="High",3,IF(E39="Medium",2,1)))</f>
        <v/>
      </c>
      <c r="G39" s="35" t="n">
        <v>1.3</v>
      </c>
      <c r="H39" s="33" t="inlineStr">
        <is>
          <t>Yes</t>
        </is>
      </c>
      <c r="I39" s="33" t="inlineStr">
        <is>
          <t>in scope</t>
        </is>
      </c>
      <c r="J39" s="33" t="inlineStr">
        <is>
          <t>s.8(7), DPDP Act, 2023</t>
        </is>
      </c>
      <c r="K39" s="33" t="inlineStr">
        <is>
          <t>[Rules citation to be verified]</t>
        </is>
      </c>
      <c r="L39" s="33" t="inlineStr">
        <is>
          <t>VERIFY_AGAINST_NOTIFIED_RULES</t>
        </is>
      </c>
      <c r="M39" s="36" t="n">
        <v>1</v>
      </c>
      <c r="N39" s="34">
        <f>IF(OR(H39="No",M39="",UPPER(M39)="NA"),0,1)</f>
        <v/>
      </c>
      <c r="O39" s="37">
        <f>IF(H39="No","Out of scope",IF(UPPER(M39)="NA","Not applicable",IF(M39="","Not assessed",IF(M39&gt;=4,"Compliant",IF(M39&gt;=3,"Substantially compliant",IF(M39&gt;=2,"Partially compliant","Non-compliant"))))))</f>
        <v/>
      </c>
      <c r="P39" s="34">
        <f>IF(N39=0,"",F39*(4-M39))</f>
        <v/>
      </c>
      <c r="Q39" s="37">
        <f>IF(P39="","",IF(P39&gt;=12,"Critical",IF(P39&gt;=8,"High",IF(P39&gt;=4,"Medium",IF(P39&gt;=1,"Low","None")))))</f>
        <v/>
      </c>
      <c r="R39" s="34">
        <f>IF(AND(N39=1,M39&lt;3),1,0)</f>
        <v/>
      </c>
      <c r="S39" s="34">
        <f>IF(N39=0,"",M39*G39)</f>
        <v/>
      </c>
      <c r="T39" s="34">
        <f>IF(N39=0,"",4*G39)</f>
        <v/>
      </c>
      <c r="U39" s="27" t="inlineStr">
        <is>
          <t>Erasure on withdrawal or purpose completion is not implemented. The manual runbook noted at CON-04 anonymises the CRM record but leaves the warehouse, the ledger, the communications platforms and the backups untouched. RBI and PMLA retention requirements were cited as justification but have not been mapped to data categories, so they operate as a blanket exception rather than a bounded one.</t>
        </is>
      </c>
      <c r="V39" s="27" t="inlineStr">
        <is>
          <t>WP-061</t>
        </is>
      </c>
      <c r="W39" s="27" t="inlineStr">
        <is>
          <t>Devika Iyer, VP Engineering</t>
        </is>
      </c>
      <c r="X39" s="27" t="inlineStr"/>
      <c r="Y39" s="33" t="inlineStr">
        <is>
          <t>On withdrawal of consent or once the purpose is no longer being served, the Data Fiduciary must erase the personal data, unless retention is necessary for compliance with any law.</t>
        </is>
      </c>
      <c r="Z39" s="33" t="inlineStr">
        <is>
          <t>Is erasure actually triggered and completed on withdrawal or purpose completion — and is it erasure, as distinct from a soft-delete flag that leaves the record fully intact and queryable?</t>
        </is>
      </c>
      <c r="AA39" s="33" t="inlineStr">
        <is>
          <t>Re-performance: withdraw consent for a test record, then query every store directly to confirm the data is gone rather than flagged.</t>
        </is>
      </c>
      <c r="AB39" s="33" t="inlineStr">
        <is>
          <t>Automated erasure triggers tied to withdrawal and purpose-completion events · Evidence from direct queries that data is removed, not merely flagged · Erasure logs recording what was erased and when</t>
        </is>
      </c>
      <c r="AC39" s="33" t="inlineStr">
        <is>
          <t>Up to INR 50 crore</t>
        </is>
      </c>
      <c r="AD39" s="35" t="n">
        <v>7</v>
      </c>
      <c r="AE39" s="33" t="inlineStr">
        <is>
          <t>Erasure is automatically triggered, verified by direct query across stores, logged, and exceptions where law requires retention are individually documented.</t>
        </is>
      </c>
    </row>
    <row r="40" ht="42" customHeight="1">
      <c r="A40" s="33" t="inlineStr">
        <is>
          <t>RET-03</t>
        </is>
      </c>
      <c r="B40" s="33" t="inlineStr">
        <is>
          <t>RET</t>
        </is>
      </c>
      <c r="C40" s="33" t="inlineStr">
        <is>
          <t>Retention &amp; Erasure</t>
        </is>
      </c>
      <c r="D40" s="33" t="inlineStr">
        <is>
          <t>Erasure propagated to processors, backups and derived stores</t>
        </is>
      </c>
      <c r="E40" s="33" t="inlineStr">
        <is>
          <t>Critical</t>
        </is>
      </c>
      <c r="F40" s="34">
        <f>IF(E40="Critical",4,IF(E40="High",3,IF(E40="Medium",2,1)))</f>
        <v/>
      </c>
      <c r="G40" s="35" t="n">
        <v>1.3</v>
      </c>
      <c r="H40" s="33" t="inlineStr">
        <is>
          <t>Yes</t>
        </is>
      </c>
      <c r="I40" s="33" t="inlineStr">
        <is>
          <t>in scope</t>
        </is>
      </c>
      <c r="J40" s="33" t="inlineStr">
        <is>
          <t>s.8(7), DPDP Act, 2023</t>
        </is>
      </c>
      <c r="K40" s="33" t="inlineStr">
        <is>
          <t>[Rules citation to be verified]</t>
        </is>
      </c>
      <c r="L40" s="33" t="inlineStr">
        <is>
          <t>VERIFY_AGAINST_NOTIFIED_RULES</t>
        </is>
      </c>
      <c r="M40" s="36" t="n">
        <v>1</v>
      </c>
      <c r="N40" s="34">
        <f>IF(OR(H40="No",M40="",UPPER(M40)="NA"),0,1)</f>
        <v/>
      </c>
      <c r="O40" s="37">
        <f>IF(H40="No","Out of scope",IF(UPPER(M40)="NA","Not applicable",IF(M40="","Not assessed",IF(M40&gt;=4,"Compliant",IF(M40&gt;=3,"Substantially compliant",IF(M40&gt;=2,"Partially compliant","Non-compliant"))))))</f>
        <v/>
      </c>
      <c r="P40" s="34">
        <f>IF(N40=0,"",F40*(4-M40))</f>
        <v/>
      </c>
      <c r="Q40" s="37">
        <f>IF(P40="","",IF(P40&gt;=12,"Critical",IF(P40&gt;=8,"High",IF(P40&gt;=4,"Medium",IF(P40&gt;=1,"Low","None")))))</f>
        <v/>
      </c>
      <c r="R40" s="34">
        <f>IF(AND(N40=1,M40&lt;3),1,0)</f>
        <v/>
      </c>
      <c r="S40" s="34">
        <f>IF(N40=0,"",M40*G40)</f>
        <v/>
      </c>
      <c r="T40" s="34">
        <f>IF(N40=0,"",4*G40)</f>
        <v/>
      </c>
      <c r="U40" s="27" t="inlineStr">
        <is>
          <t>Erasure does not propagate. Testing confirmed that a record erased in Kavach CRM remained present in Snowflake, in the dbt derived tables, in CleverTap and in Gupshup's message logs. No processor has been issued an erasure instruction in the period, and the vendor contracts contain no mechanism for doing so.</t>
        </is>
      </c>
      <c r="V40" s="27" t="inlineStr">
        <is>
          <t>WP-062</t>
        </is>
      </c>
      <c r="W40" s="27" t="inlineStr">
        <is>
          <t>Devika Iyer, VP Engineering</t>
        </is>
      </c>
      <c r="X40" s="27" t="inlineStr"/>
      <c r="Y40" s="33" t="inlineStr">
        <is>
          <t>The Data Fiduciary must cause its Data Processors to erase personal data that was made available to them for processing.</t>
        </is>
      </c>
      <c r="Z40" s="33" t="inlineStr">
        <is>
          <t>Does erasure reach processors, data warehouses, analytics environments, search indices, caches, logs and backups — and is completion confirmed rather than assumed?</t>
        </is>
      </c>
      <c r="AA40" s="33" t="inlineStr">
        <is>
          <t>Trace an erasure request across the full data topology; inspect processor erasure confirmations; test the treatment of backups and derived datasets.</t>
        </is>
      </c>
      <c r="AB40" s="33" t="inlineStr">
        <is>
          <t>Data topology map identifying every store holding personal data · Processor erasure instructions and written confirmations of completion · Documented approach to backups, including erasure on restore</t>
        </is>
      </c>
      <c r="AC40" s="33" t="inlineStr">
        <is>
          <t>Up to INR 50 crore</t>
        </is>
      </c>
      <c r="AD40" s="35" t="n">
        <v>7</v>
      </c>
      <c r="AE40" s="33" t="inlineStr">
        <is>
          <t>A complete topology drives erasure across every store, processors return confirmations that are tracked, and the backup approach is documented including re-erasure on restore.</t>
        </is>
      </c>
    </row>
    <row r="41" ht="42" customHeight="1">
      <c r="A41" s="33" t="inlineStr">
        <is>
          <t>RET-04</t>
        </is>
      </c>
      <c r="B41" s="33" t="inlineStr">
        <is>
          <t>RET</t>
        </is>
      </c>
      <c r="C41" s="33" t="inlineStr">
        <is>
          <t>Retention &amp; Erasure</t>
        </is>
      </c>
      <c r="D41" s="33" t="inlineStr">
        <is>
          <t>Deemed purpose completion on Data Principal inactivity</t>
        </is>
      </c>
      <c r="E41" s="33" t="inlineStr">
        <is>
          <t>High</t>
        </is>
      </c>
      <c r="F41" s="34">
        <f>IF(E41="Critical",4,IF(E41="High",3,IF(E41="Medium",2,1)))</f>
        <v/>
      </c>
      <c r="G41" s="35" t="n">
        <v>1.1</v>
      </c>
      <c r="H41" s="33" t="inlineStr">
        <is>
          <t>Yes</t>
        </is>
      </c>
      <c r="I41" s="33" t="inlineStr">
        <is>
          <t>in scope</t>
        </is>
      </c>
      <c r="J41" s="33" t="inlineStr">
        <is>
          <t>s.8(10), DPDP Act, 2023</t>
        </is>
      </c>
      <c r="K41" s="33" t="inlineStr">
        <is>
          <t>[Rules citation to be verified]</t>
        </is>
      </c>
      <c r="L41" s="33" t="inlineStr">
        <is>
          <t>VERIFY_AGAINST_NOTIFIED_RULES</t>
        </is>
      </c>
      <c r="M41" s="36" t="n">
        <v>0</v>
      </c>
      <c r="N41" s="34">
        <f>IF(OR(H41="No",M41="",UPPER(M41)="NA"),0,1)</f>
        <v/>
      </c>
      <c r="O41" s="37">
        <f>IF(H41="No","Out of scope",IF(UPPER(M41)="NA","Not applicable",IF(M41="","Not assessed",IF(M41&gt;=4,"Compliant",IF(M41&gt;=3,"Substantially compliant",IF(M41&gt;=2,"Partially compliant","Non-compliant"))))))</f>
        <v/>
      </c>
      <c r="P41" s="34">
        <f>IF(N41=0,"",F41*(4-M41))</f>
        <v/>
      </c>
      <c r="Q41" s="37">
        <f>IF(P41="","",IF(P41&gt;=12,"Critical",IF(P41&gt;=8,"High",IF(P41&gt;=4,"Medium",IF(P41&gt;=1,"Low","None")))))</f>
        <v/>
      </c>
      <c r="R41" s="34">
        <f>IF(AND(N41=1,M41&lt;3),1,0)</f>
        <v/>
      </c>
      <c r="S41" s="34">
        <f>IF(N41=0,"",M41*G41)</f>
        <v/>
      </c>
      <c r="T41" s="34">
        <f>IF(N41=0,"",4*G41)</f>
        <v/>
      </c>
      <c r="U41" s="27" t="inlineStr">
        <is>
          <t>There is no concept of deemed purpose completion on inactivity. Accounts dormant since 2019 remain fully populated and continue to be included in marketing audiences. Approximately 2.1 million Data Principals have had no interaction with the platform for over three years.</t>
        </is>
      </c>
      <c r="V41" s="27" t="inlineStr">
        <is>
          <t>WP-063</t>
        </is>
      </c>
      <c r="W41" s="27" t="inlineStr">
        <is>
          <t>Devika Iyer, VP Engineering</t>
        </is>
      </c>
      <c r="X41" s="27" t="inlineStr"/>
      <c r="Y41" s="33" t="inlineStr">
        <is>
          <t>The purpose is deemed no longer to be served if the Data Principal neither approaches the Data Fiduciary for the performance of the purpose nor exercises any of their rights in relation to it, for such period as may be prescribed.</t>
        </is>
      </c>
      <c r="Z41" s="33" t="inlineStr">
        <is>
          <t>Does the entity track Data Principal inactivity and treat the prescribed period of inactivity as triggering erasure — and does it know whether it falls within a class for which specific periods are prescribed?</t>
        </is>
      </c>
      <c r="AA41" s="33" t="inlineStr">
        <is>
          <t>Inspect inactivity tracking and the erasure trigger; test the class determination against the prescribed thresholds; sample dormant records for erasure.</t>
        </is>
      </c>
      <c r="AB41" s="33" t="inlineStr">
        <is>
          <t>Inactivity definition and tracking mechanism per data category · Class determination assessment against the prescribed thresholds · Erasure records for dormant populations</t>
        </is>
      </c>
      <c r="AC41" s="33" t="inlineStr">
        <is>
          <t>Up to INR 50 crore</t>
        </is>
      </c>
      <c r="AD41" s="35" t="n">
        <v>7</v>
      </c>
      <c r="AE41" s="33" t="inlineStr">
        <is>
          <t>Inactivity is tracked per category, the class determination is documented, erasure triggers operate on the prescribed period, and dormant-population erasure is evidenced.</t>
        </is>
      </c>
    </row>
    <row r="42" ht="42" customHeight="1">
      <c r="A42" s="33" t="inlineStr">
        <is>
          <t>RET-05</t>
        </is>
      </c>
      <c r="B42" s="33" t="inlineStr">
        <is>
          <t>RET</t>
        </is>
      </c>
      <c r="C42" s="33" t="inlineStr">
        <is>
          <t>Retention &amp; Erasure</t>
        </is>
      </c>
      <c r="D42" s="33" t="inlineStr">
        <is>
          <t>Advance notice before erasure where required</t>
        </is>
      </c>
      <c r="E42" s="33" t="inlineStr">
        <is>
          <t>Medium</t>
        </is>
      </c>
      <c r="F42" s="34">
        <f>IF(E42="Critical",4,IF(E42="High",3,IF(E42="Medium",2,1)))</f>
        <v/>
      </c>
      <c r="G42" s="35" t="n">
        <v>0.9</v>
      </c>
      <c r="H42" s="33" t="inlineStr">
        <is>
          <t>Yes</t>
        </is>
      </c>
      <c r="I42" s="33" t="inlineStr">
        <is>
          <t>in scope</t>
        </is>
      </c>
      <c r="J42" s="33" t="inlineStr">
        <is>
          <t>s.8(7), s.8(10) read with the Rules, DPDP Act, 2023</t>
        </is>
      </c>
      <c r="K42" s="33" t="inlineStr">
        <is>
          <t>[Rules citation to be verified]</t>
        </is>
      </c>
      <c r="L42" s="33" t="inlineStr">
        <is>
          <t>VERIFY_AGAINST_NOTIFIED_RULES</t>
        </is>
      </c>
      <c r="M42" s="36" t="n">
        <v>0</v>
      </c>
      <c r="N42" s="34">
        <f>IF(OR(H42="No",M42="",UPPER(M42)="NA"),0,1)</f>
        <v/>
      </c>
      <c r="O42" s="37">
        <f>IF(H42="No","Out of scope",IF(UPPER(M42)="NA","Not applicable",IF(M42="","Not assessed",IF(M42&gt;=4,"Compliant",IF(M42&gt;=3,"Substantially compliant",IF(M42&gt;=2,"Partially compliant","Non-compliant"))))))</f>
        <v/>
      </c>
      <c r="P42" s="34">
        <f>IF(N42=0,"",F42*(4-M42))</f>
        <v/>
      </c>
      <c r="Q42" s="37">
        <f>IF(P42="","",IF(P42&gt;=12,"Critical",IF(P42&gt;=8,"High",IF(P42&gt;=4,"Medium",IF(P42&gt;=1,"Low","None")))))</f>
        <v/>
      </c>
      <c r="R42" s="34">
        <f>IF(AND(N42=1,M42&lt;3),1,0)</f>
        <v/>
      </c>
      <c r="S42" s="34">
        <f>IF(N42=0,"",M42*G42)</f>
        <v/>
      </c>
      <c r="T42" s="34">
        <f>IF(N42=0,"",4*G42)</f>
        <v/>
      </c>
      <c r="U42" s="27" t="inlineStr">
        <is>
          <t>No advance intimation is given before erasure, because no scheduled erasure takes place. The requirement has not been designed for.</t>
        </is>
      </c>
      <c r="V42" s="27" t="inlineStr">
        <is>
          <t>WP-064</t>
        </is>
      </c>
      <c r="W42" s="27" t="inlineStr">
        <is>
          <t>Devika Iyer, VP Engineering</t>
        </is>
      </c>
      <c r="X42" s="27" t="inlineStr"/>
      <c r="Y42" s="33" t="inlineStr">
        <is>
          <t>The Rules are understood to require advance intimation to the Data Principal before erasure on the expiry of a prescribed retention period, so that the individual may act to preserve access if they wish.</t>
        </is>
      </c>
      <c r="Z42" s="33" t="inlineStr">
        <is>
          <t>Where a prescribed retention period is about to expire, is advance notice given to the Data Principal in the prescribed manner and within the prescribed period before erasure?</t>
        </is>
      </c>
      <c r="AA42" s="33" t="inlineStr">
        <is>
          <t>Inspect the pre-erasure notification mechanism and despatch logs; test that timing precedes erasure by the required interval.</t>
        </is>
      </c>
      <c r="AB42" s="33" t="inlineStr">
        <is>
          <t>Pre-erasure notification template and trigger configuration · Despatch logs showing notice preceding erasure by the required interval · Handling of Data Principal responses to such notices</t>
        </is>
      </c>
      <c r="AC42" s="33" t="inlineStr">
        <is>
          <t>Up to INR 50 crore</t>
        </is>
      </c>
      <c r="AD42" s="35" t="n">
        <v>7</v>
      </c>
      <c r="AE42" s="33" t="inlineStr">
        <is>
          <t>Pre-erasure notification is automated on the prescribed interval, despatch is logged, and responses are handled through a defined process.</t>
        </is>
      </c>
    </row>
    <row r="43" ht="42" customHeight="1">
      <c r="A43" s="33" t="inlineStr">
        <is>
          <t>RGT-01</t>
        </is>
      </c>
      <c r="B43" s="33" t="inlineStr">
        <is>
          <t>RGT</t>
        </is>
      </c>
      <c r="C43" s="33" t="inlineStr">
        <is>
          <t>Data Principal Rights</t>
        </is>
      </c>
      <c r="D43" s="33" t="inlineStr">
        <is>
          <t>Right to access information about personal data</t>
        </is>
      </c>
      <c r="E43" s="33" t="inlineStr">
        <is>
          <t>High</t>
        </is>
      </c>
      <c r="F43" s="34">
        <f>IF(E43="Critical",4,IF(E43="High",3,IF(E43="Medium",2,1)))</f>
        <v/>
      </c>
      <c r="G43" s="35" t="n">
        <v>1.2</v>
      </c>
      <c r="H43" s="33" t="inlineStr">
        <is>
          <t>Yes</t>
        </is>
      </c>
      <c r="I43" s="33" t="inlineStr">
        <is>
          <t>in scope</t>
        </is>
      </c>
      <c r="J43" s="33" t="inlineStr">
        <is>
          <t>s.11(1), DPDP Act, 2023</t>
        </is>
      </c>
      <c r="K43" s="33" t="inlineStr">
        <is>
          <t>[Rules citation to be verified]</t>
        </is>
      </c>
      <c r="L43" s="33" t="inlineStr">
        <is>
          <t>VERIFY_AGAINST_NOTIFIED_RULES</t>
        </is>
      </c>
      <c r="M43" s="36" t="n">
        <v>2</v>
      </c>
      <c r="N43" s="34">
        <f>IF(OR(H43="No",M43="",UPPER(M43)="NA"),0,1)</f>
        <v/>
      </c>
      <c r="O43" s="37">
        <f>IF(H43="No","Out of scope",IF(UPPER(M43)="NA","Not applicable",IF(M43="","Not assessed",IF(M43&gt;=4,"Compliant",IF(M43&gt;=3,"Substantially compliant",IF(M43&gt;=2,"Partially compliant","Non-compliant"))))))</f>
        <v/>
      </c>
      <c r="P43" s="34">
        <f>IF(N43=0,"",F43*(4-M43))</f>
        <v/>
      </c>
      <c r="Q43" s="37">
        <f>IF(P43="","",IF(P43&gt;=12,"Critical",IF(P43&gt;=8,"High",IF(P43&gt;=4,"Medium",IF(P43&gt;=1,"Low","None")))))</f>
        <v/>
      </c>
      <c r="R43" s="34">
        <f>IF(AND(N43=1,M43&lt;3),1,0)</f>
        <v/>
      </c>
      <c r="S43" s="34">
        <f>IF(N43=0,"",M43*G43)</f>
        <v/>
      </c>
      <c r="T43" s="34">
        <f>IF(N43=0,"",4*G43)</f>
        <v/>
      </c>
      <c r="U43" s="27" t="inlineStr">
        <is>
          <t>An access request route exists via the grievance form and produces a summary of profile data. It does not include the identities of processors or other recipients with whom data has been shared, nor a description of the processing activities. Two of the four requests received in the period were answered outside 30 days.</t>
        </is>
      </c>
      <c r="V43" s="27" t="inlineStr">
        <is>
          <t>WP-070</t>
        </is>
      </c>
      <c r="W43" s="27" t="inlineStr">
        <is>
          <t>Anita Desai, Head of Customer Experience</t>
        </is>
      </c>
      <c r="X43" s="27" t="inlineStr"/>
      <c r="Y43" s="33" t="inlineStr">
        <is>
          <t>A Data Principal who has previously given consent is entitled, on request, to a summary of the personal data being processed and the processing activities undertaken, the identities of all other Data Fiduciaries and Data Processors with whom the personal data has been shared together with a description of the data shared, and any other prescribed information.</t>
        </is>
      </c>
      <c r="Z43" s="33" t="inlineStr">
        <is>
          <t>Can the entity produce, on request, a summary of the data held, the processing activities, and the identities of every recipient with a description of what was shared? The recipient-identity element is the part most commonly absent.</t>
        </is>
      </c>
      <c r="AA43" s="33" t="inlineStr">
        <is>
          <t>Re-performance: submit an access request as a Data Principal and evaluate the completeness of the response against the statutory requirements.</t>
        </is>
      </c>
      <c r="AB43" s="33" t="inlineStr">
        <is>
          <t>Access request procedure and fulfilment records · Sample response demonstrating all three statutory elements · Mechanism for compiling recipient identities and data shared</t>
        </is>
      </c>
      <c r="AC43" s="33" t="inlineStr">
        <is>
          <t>Up to INR 50 crore</t>
        </is>
      </c>
      <c r="AD43" s="35" t="n">
        <v>7</v>
      </c>
      <c r="AE43" s="33" t="inlineStr">
        <is>
          <t>Testing confirms responses cover all statutory elements including full recipient identities and descriptions of data shared, produced within the prescribed period through a repeatable process.</t>
        </is>
      </c>
    </row>
    <row r="44" ht="42" customHeight="1">
      <c r="A44" s="33" t="inlineStr">
        <is>
          <t>RGT-02</t>
        </is>
      </c>
      <c r="B44" s="33" t="inlineStr">
        <is>
          <t>RGT</t>
        </is>
      </c>
      <c r="C44" s="33" t="inlineStr">
        <is>
          <t>Data Principal Rights</t>
        </is>
      </c>
      <c r="D44" s="33" t="inlineStr">
        <is>
          <t>Right to correction, completion and updating</t>
        </is>
      </c>
      <c r="E44" s="33" t="inlineStr">
        <is>
          <t>High</t>
        </is>
      </c>
      <c r="F44" s="34">
        <f>IF(E44="Critical",4,IF(E44="High",3,IF(E44="Medium",2,1)))</f>
        <v/>
      </c>
      <c r="G44" s="35" t="n">
        <v>1.1</v>
      </c>
      <c r="H44" s="33" t="inlineStr">
        <is>
          <t>Yes</t>
        </is>
      </c>
      <c r="I44" s="33" t="inlineStr">
        <is>
          <t>in scope</t>
        </is>
      </c>
      <c r="J44" s="33" t="inlineStr">
        <is>
          <t>s.12(1), s.12(2), DPDP Act, 2023</t>
        </is>
      </c>
      <c r="K44" s="33" t="inlineStr">
        <is>
          <t>[Rules citation to be verified]</t>
        </is>
      </c>
      <c r="L44" s="33" t="inlineStr">
        <is>
          <t>VERIFY_AGAINST_NOTIFIED_RULES</t>
        </is>
      </c>
      <c r="M44" s="36" t="n">
        <v>3</v>
      </c>
      <c r="N44" s="34">
        <f>IF(OR(H44="No",M44="",UPPER(M44)="NA"),0,1)</f>
        <v/>
      </c>
      <c r="O44" s="37">
        <f>IF(H44="No","Out of scope",IF(UPPER(M44)="NA","Not applicable",IF(M44="","Not assessed",IF(M44&gt;=4,"Compliant",IF(M44&gt;=3,"Substantially compliant",IF(M44&gt;=2,"Partially compliant","Non-compliant"))))))</f>
        <v/>
      </c>
      <c r="P44" s="34">
        <f>IF(N44=0,"",F44*(4-M44))</f>
        <v/>
      </c>
      <c r="Q44" s="37">
        <f>IF(P44="","",IF(P44&gt;=12,"Critical",IF(P44&gt;=8,"High",IF(P44&gt;=4,"Medium",IF(P44&gt;=1,"Low","None")))))</f>
        <v/>
      </c>
      <c r="R44" s="34">
        <f>IF(AND(N44=1,M44&lt;3),1,0)</f>
        <v/>
      </c>
      <c r="S44" s="34">
        <f>IF(N44=0,"",M44*G44)</f>
        <v/>
      </c>
      <c r="T44" s="34">
        <f>IF(N44=0,"",4*G44)</f>
        <v/>
      </c>
      <c r="U44" s="27" t="inlineStr">
        <is>
          <t>Correction and updating of profile data is self-service in the application and works as described. Completion of incomplete records and correction of data held only in the warehouse or with processors requires a manual request and is not propagated, as noted at PUR-04.</t>
        </is>
      </c>
      <c r="V44" s="27" t="inlineStr">
        <is>
          <t>WP-071</t>
        </is>
      </c>
      <c r="W44" s="27" t="inlineStr">
        <is>
          <t>Devika Iyer, VP Engineering</t>
        </is>
      </c>
      <c r="X44" s="27" t="inlineStr"/>
      <c r="Y44" s="33" t="inlineStr">
        <is>
          <t>A Data Principal has the right to correction, completion and updating of personal data. On receiving such a request the Data Fiduciary must correct inaccurate or misleading data, complete incomplete data, and update it.</t>
        </is>
      </c>
      <c r="Z44" s="33" t="inlineStr">
        <is>
          <t>Can a Data Principal have data corrected, completed and updated, and do those corrections propagate to processors and to other Data Fiduciaries with whom the data was shared?</t>
        </is>
      </c>
      <c r="AA44" s="33" t="inlineStr">
        <is>
          <t>Re-performance: submit a correction request and trace propagation to downstream systems and third-party recipients.</t>
        </is>
      </c>
      <c r="AB44" s="33" t="inlineStr">
        <is>
          <t>Correction procedure and fulfilment records with elapsed times · Evidence of propagation to processors and onward recipients · Self-service correction capability where practicable</t>
        </is>
      </c>
      <c r="AC44" s="33" t="inlineStr">
        <is>
          <t>Up to INR 50 crore</t>
        </is>
      </c>
      <c r="AD44" s="35" t="n">
        <v>7</v>
      </c>
      <c r="AE44" s="33" t="inlineStr">
        <is>
          <t>Corrections are actioned within the prescribed period and demonstrably propagate to every downstream consumer and prior recipient, with self-service available where practicable.</t>
        </is>
      </c>
    </row>
    <row r="45" ht="42" customHeight="1">
      <c r="A45" s="33" t="inlineStr">
        <is>
          <t>RGT-03</t>
        </is>
      </c>
      <c r="B45" s="33" t="inlineStr">
        <is>
          <t>RGT</t>
        </is>
      </c>
      <c r="C45" s="33" t="inlineStr">
        <is>
          <t>Data Principal Rights</t>
        </is>
      </c>
      <c r="D45" s="33" t="inlineStr">
        <is>
          <t>Right to erasure on request</t>
        </is>
      </c>
      <c r="E45" s="33" t="inlineStr">
        <is>
          <t>High</t>
        </is>
      </c>
      <c r="F45" s="34">
        <f>IF(E45="Critical",4,IF(E45="High",3,IF(E45="Medium",2,1)))</f>
        <v/>
      </c>
      <c r="G45" s="35" t="n">
        <v>1.2</v>
      </c>
      <c r="H45" s="33" t="inlineStr">
        <is>
          <t>Yes</t>
        </is>
      </c>
      <c r="I45" s="33" t="inlineStr">
        <is>
          <t>in scope</t>
        </is>
      </c>
      <c r="J45" s="33" t="inlineStr">
        <is>
          <t>s.12(3), DPDP Act, 2023</t>
        </is>
      </c>
      <c r="K45" s="33" t="inlineStr">
        <is>
          <t>[Rules citation to be verified]</t>
        </is>
      </c>
      <c r="L45" s="33" t="inlineStr">
        <is>
          <t>VERIFY_AGAINST_NOTIFIED_RULES</t>
        </is>
      </c>
      <c r="M45" s="36" t="n">
        <v>1</v>
      </c>
      <c r="N45" s="34">
        <f>IF(OR(H45="No",M45="",UPPER(M45)="NA"),0,1)</f>
        <v/>
      </c>
      <c r="O45" s="37">
        <f>IF(H45="No","Out of scope",IF(UPPER(M45)="NA","Not applicable",IF(M45="","Not assessed",IF(M45&gt;=4,"Compliant",IF(M45&gt;=3,"Substantially compliant",IF(M45&gt;=2,"Partially compliant","Non-compliant"))))))</f>
        <v/>
      </c>
      <c r="P45" s="34">
        <f>IF(N45=0,"",F45*(4-M45))</f>
        <v/>
      </c>
      <c r="Q45" s="37">
        <f>IF(P45="","",IF(P45&gt;=12,"Critical",IF(P45&gt;=8,"High",IF(P45&gt;=4,"Medium",IF(P45&gt;=1,"Low","None")))))</f>
        <v/>
      </c>
      <c r="R45" s="34">
        <f>IF(AND(N45=1,M45&lt;3),1,0)</f>
        <v/>
      </c>
      <c r="S45" s="34">
        <f>IF(N45=0,"",M45*G45)</f>
        <v/>
      </c>
      <c r="T45" s="34">
        <f>IF(N45=0,"",4*G45)</f>
        <v/>
      </c>
      <c r="U45" s="27" t="inlineStr">
        <is>
          <t>Erasure requests are accepted but cannot be fulfilled beyond the CRM, for the reasons at RET-03. Three of the three erasure requests received were closed as completed on the basis of CRM anonymisation alone, which overstates what was done and creates a misleading record.</t>
        </is>
      </c>
      <c r="V45" s="27" t="inlineStr">
        <is>
          <t>WP-072</t>
        </is>
      </c>
      <c r="W45" s="27" t="inlineStr">
        <is>
          <t>Anita Desai, Head of Customer Experience</t>
        </is>
      </c>
      <c r="X45" s="27" t="inlineStr"/>
      <c r="Y45" s="33" t="inlineStr">
        <is>
          <t>A Data Principal has the right to erasure of personal data, and on such a request the Data Fiduciary must erase unless retention is necessary for the specified purpose or for compliance with any law.</t>
        </is>
      </c>
      <c r="Z45" s="33" t="inlineStr">
        <is>
          <t>Is erasure on request actioned across all stores, with refusals confined to genuine legal retention requirements and explained to the Data Principal?</t>
        </is>
      </c>
      <c r="AA45" s="33" t="inlineStr">
        <is>
          <t>Re-performance: submit an erasure request and verify removal across stores; inspect the refusal log and test the justifications recorded.</t>
        </is>
      </c>
      <c r="AB45" s="33" t="inlineStr">
        <is>
          <t>Erasure request procedure and fulfilment records · Verification of removal across all identified stores · Refusal log with specific legal justification per refusal</t>
        </is>
      </c>
      <c r="AC45" s="33" t="inlineStr">
        <is>
          <t>Up to INR 50 crore</t>
        </is>
      </c>
      <c r="AD45" s="35" t="n">
        <v>7</v>
      </c>
      <c r="AE45" s="33" t="inlineStr">
        <is>
          <t>Erasure is actioned and verified across all stores within the prescribed period, and each refusal cites a specific legal basis and is communicated to the Data Principal.</t>
        </is>
      </c>
    </row>
    <row r="46" ht="42" customHeight="1">
      <c r="A46" s="33" t="inlineStr">
        <is>
          <t>RGT-04</t>
        </is>
      </c>
      <c r="B46" s="33" t="inlineStr">
        <is>
          <t>RGT</t>
        </is>
      </c>
      <c r="C46" s="33" t="inlineStr">
        <is>
          <t>Data Principal Rights</t>
        </is>
      </c>
      <c r="D46" s="33" t="inlineStr">
        <is>
          <t>Right to nominate</t>
        </is>
      </c>
      <c r="E46" s="33" t="inlineStr">
        <is>
          <t>Medium</t>
        </is>
      </c>
      <c r="F46" s="34">
        <f>IF(E46="Critical",4,IF(E46="High",3,IF(E46="Medium",2,1)))</f>
        <v/>
      </c>
      <c r="G46" s="35" t="n">
        <v>0.9</v>
      </c>
      <c r="H46" s="33" t="inlineStr">
        <is>
          <t>Yes</t>
        </is>
      </c>
      <c r="I46" s="33" t="inlineStr">
        <is>
          <t>in scope</t>
        </is>
      </c>
      <c r="J46" s="33" t="inlineStr">
        <is>
          <t>s.14, DPDP Act, 2023</t>
        </is>
      </c>
      <c r="K46" s="33" t="inlineStr">
        <is>
          <t>[Rules citation to be verified]</t>
        </is>
      </c>
      <c r="L46" s="33" t="inlineStr">
        <is>
          <t>VERIFY_AGAINST_NOTIFIED_RULES</t>
        </is>
      </c>
      <c r="M46" s="36" t="n">
        <v>0</v>
      </c>
      <c r="N46" s="34">
        <f>IF(OR(H46="No",M46="",UPPER(M46)="NA"),0,1)</f>
        <v/>
      </c>
      <c r="O46" s="37">
        <f>IF(H46="No","Out of scope",IF(UPPER(M46)="NA","Not applicable",IF(M46="","Not assessed",IF(M46&gt;=4,"Compliant",IF(M46&gt;=3,"Substantially compliant",IF(M46&gt;=2,"Partially compliant","Non-compliant"))))))</f>
        <v/>
      </c>
      <c r="P46" s="34">
        <f>IF(N46=0,"",F46*(4-M46))</f>
        <v/>
      </c>
      <c r="Q46" s="37">
        <f>IF(P46="","",IF(P46&gt;=12,"Critical",IF(P46&gt;=8,"High",IF(P46&gt;=4,"Medium",IF(P46&gt;=1,"Low","None")))))</f>
        <v/>
      </c>
      <c r="R46" s="34">
        <f>IF(AND(N46=1,M46&lt;3),1,0)</f>
        <v/>
      </c>
      <c r="S46" s="34">
        <f>IF(N46=0,"",M46*G46)</f>
        <v/>
      </c>
      <c r="T46" s="34">
        <f>IF(N46=0,"",4*G46)</f>
        <v/>
      </c>
      <c r="U46" s="27" t="inlineStr">
        <is>
          <t>The right to nominate has not been implemented. There is no interface, no record structure and no operating procedure for giving effect to a nomination on death or incapacity.</t>
        </is>
      </c>
      <c r="V46" s="27" t="inlineStr">
        <is>
          <t>WP-073</t>
        </is>
      </c>
      <c r="W46" s="27" t="inlineStr">
        <is>
          <t>Rohit Menon, Head of Product</t>
        </is>
      </c>
      <c r="X46" s="27" t="inlineStr"/>
      <c r="Y46" s="33" t="inlineStr">
        <is>
          <t>A Data Principal has the right to nominate, in the prescribed manner, any other individual to exercise their rights under the Act in the event of the Data Principal's death or incapacity.</t>
        </is>
      </c>
      <c r="Z46" s="33" t="inlineStr">
        <is>
          <t>Is there a working mechanism for a Data Principal to nominate another individual, and a procedure for that nominee to be verified and to exercise rights when the trigger event occurs?</t>
        </is>
      </c>
      <c r="AA46" s="33" t="inlineStr">
        <is>
          <t>Inspect the nomination mechanism and the nominee verification procedure; test that nomination records are retrievable and actionable.</t>
        </is>
      </c>
      <c r="AB46" s="33" t="inlineStr">
        <is>
          <t>Nomination capture mechanism accessible to Data Principals · Nominee verification and rights-exercise procedure · Retrievable nomination records</t>
        </is>
      </c>
      <c r="AC46" s="33" t="inlineStr">
        <is>
          <t>Up to INR 50 crore</t>
        </is>
      </c>
      <c r="AD46" s="35" t="n">
        <v>7</v>
      </c>
      <c r="AE46" s="33" t="inlineStr">
        <is>
          <t>A structured nomination mechanism is available and publicised, records are retrievable, and a documented procedure governs nominee verification and rights exercise on death or incapacity.</t>
        </is>
      </c>
    </row>
    <row r="47" ht="42" customHeight="1">
      <c r="A47" s="33" t="inlineStr">
        <is>
          <t>RGT-05</t>
        </is>
      </c>
      <c r="B47" s="33" t="inlineStr">
        <is>
          <t>RGT</t>
        </is>
      </c>
      <c r="C47" s="33" t="inlineStr">
        <is>
          <t>Data Principal Rights</t>
        </is>
      </c>
      <c r="D47" s="33" t="inlineStr">
        <is>
          <t>Identity verification proportionate and non-obstructive</t>
        </is>
      </c>
      <c r="E47" s="33" t="inlineStr">
        <is>
          <t>Medium</t>
        </is>
      </c>
      <c r="F47" s="34">
        <f>IF(E47="Critical",4,IF(E47="High",3,IF(E47="Medium",2,1)))</f>
        <v/>
      </c>
      <c r="G47" s="35" t="n">
        <v>1</v>
      </c>
      <c r="H47" s="33" t="inlineStr">
        <is>
          <t>Yes</t>
        </is>
      </c>
      <c r="I47" s="33" t="inlineStr">
        <is>
          <t>in scope</t>
        </is>
      </c>
      <c r="J47" s="33" t="inlineStr">
        <is>
          <t>s.11, s.12, s.13 read with s.6(1), DPDP Act, 2023</t>
        </is>
      </c>
      <c r="K47" s="33" t="inlineStr">
        <is>
          <t>[Rules citation to be verified]</t>
        </is>
      </c>
      <c r="L47" s="33" t="inlineStr">
        <is>
          <t>VERIFY_AGAINST_NOTIFIED_RULES</t>
        </is>
      </c>
      <c r="M47" s="36" t="n">
        <v>3</v>
      </c>
      <c r="N47" s="34">
        <f>IF(OR(H47="No",M47="",UPPER(M47)="NA"),0,1)</f>
        <v/>
      </c>
      <c r="O47" s="37">
        <f>IF(H47="No","Out of scope",IF(UPPER(M47)="NA","Not applicable",IF(M47="","Not assessed",IF(M47&gt;=4,"Compliant",IF(M47&gt;=3,"Substantially compliant",IF(M47&gt;=2,"Partially compliant","Non-compliant"))))))</f>
        <v/>
      </c>
      <c r="P47" s="34">
        <f>IF(N47=0,"",F47*(4-M47))</f>
        <v/>
      </c>
      <c r="Q47" s="37">
        <f>IF(P47="","",IF(P47&gt;=12,"Critical",IF(P47&gt;=8,"High",IF(P47&gt;=4,"Medium",IF(P47&gt;=1,"Low","None")))))</f>
        <v/>
      </c>
      <c r="R47" s="34">
        <f>IF(AND(N47=1,M47&lt;3),1,0)</f>
        <v/>
      </c>
      <c r="S47" s="34">
        <f>IF(N47=0,"",M47*G47)</f>
        <v/>
      </c>
      <c r="T47" s="34">
        <f>IF(N47=0,"",4*G47)</f>
        <v/>
      </c>
      <c r="U47" s="27" t="inlineStr">
        <is>
          <t>Identity verification for rights requests reuses the existing authenticated session where the request originates in the app, which is proportionate. Email-originated requests trigger a request for a self-attested identity document, which exceeds what is necessary where the mailbox is the registered one.</t>
        </is>
      </c>
      <c r="V47" s="27" t="inlineStr">
        <is>
          <t>WP-074</t>
        </is>
      </c>
      <c r="W47" s="27" t="inlineStr">
        <is>
          <t>Anita Desai, Head of Customer Experience</t>
        </is>
      </c>
      <c r="X47" s="27" t="inlineStr"/>
      <c r="Y47" s="33" t="inlineStr">
        <is>
          <t>Rights must be exercisable in the prescribed manner. Verification of the requester's identity is legitimate, but requirements that exceed what is necessary operate as an obstruction to the exercise of a statutory right and themselves involve collecting further personal data.</t>
        </is>
      </c>
      <c r="Z47" s="33" t="inlineStr">
        <is>
          <t>Is identity verification proportionate to the sensitivity of the request, or does it demand documentation the entity does not already hold — a scanned identity document from a user who registered with an email address?</t>
        </is>
      </c>
      <c r="AA47" s="33" t="inlineStr">
        <is>
          <t>Inspect verification requirements per request type; assess proportionality and whether verification collects data beyond what is held.</t>
        </is>
      </c>
      <c r="AB47" s="33" t="inlineStr">
        <is>
          <t>Documented verification standard, tiered by request sensitivity · Evidence that verification uses existing authenticated channels where available · Absence of requirements to submit new identity documents without cause</t>
        </is>
      </c>
      <c r="AC47" s="33" t="inlineStr">
        <is>
          <t>Up to INR 50 crore</t>
        </is>
      </c>
      <c r="AD47" s="35" t="n">
        <v>7</v>
      </c>
      <c r="AE47" s="33" t="inlineStr">
        <is>
          <t>Verification is tiered by sensitivity, leverages existing authenticated sessions where available, collects no more than necessary, and is documented and consistently applied.</t>
        </is>
      </c>
    </row>
    <row r="48" ht="42" customHeight="1">
      <c r="A48" s="33" t="inlineStr">
        <is>
          <t>RGT-06</t>
        </is>
      </c>
      <c r="B48" s="33" t="inlineStr">
        <is>
          <t>RGT</t>
        </is>
      </c>
      <c r="C48" s="33" t="inlineStr">
        <is>
          <t>Data Principal Rights</t>
        </is>
      </c>
      <c r="D48" s="33" t="inlineStr">
        <is>
          <t>Rights request logging, tracking and service levels</t>
        </is>
      </c>
      <c r="E48" s="33" t="inlineStr">
        <is>
          <t>High</t>
        </is>
      </c>
      <c r="F48" s="34">
        <f>IF(E48="Critical",4,IF(E48="High",3,IF(E48="Medium",2,1)))</f>
        <v/>
      </c>
      <c r="G48" s="35" t="n">
        <v>1.1</v>
      </c>
      <c r="H48" s="33" t="inlineStr">
        <is>
          <t>Yes</t>
        </is>
      </c>
      <c r="I48" s="33" t="inlineStr">
        <is>
          <t>in scope</t>
        </is>
      </c>
      <c r="J48" s="33" t="inlineStr">
        <is>
          <t>s.8(1), s.11, s.12, s.13, DPDP Act, 2023</t>
        </is>
      </c>
      <c r="K48" s="33" t="inlineStr">
        <is>
          <t>[Rules citation to be verified]</t>
        </is>
      </c>
      <c r="L48" s="33" t="inlineStr">
        <is>
          <t>VERIFY_AGAINST_NOTIFIED_RULES</t>
        </is>
      </c>
      <c r="M48" s="36" t="n">
        <v>2</v>
      </c>
      <c r="N48" s="34">
        <f>IF(OR(H48="No",M48="",UPPER(M48)="NA"),0,1)</f>
        <v/>
      </c>
      <c r="O48" s="37">
        <f>IF(H48="No","Out of scope",IF(UPPER(M48)="NA","Not applicable",IF(M48="","Not assessed",IF(M48&gt;=4,"Compliant",IF(M48&gt;=3,"Substantially compliant",IF(M48&gt;=2,"Partially compliant","Non-compliant"))))))</f>
        <v/>
      </c>
      <c r="P48" s="34">
        <f>IF(N48=0,"",F48*(4-M48))</f>
        <v/>
      </c>
      <c r="Q48" s="37">
        <f>IF(P48="","",IF(P48&gt;=12,"Critical",IF(P48&gt;=8,"High",IF(P48&gt;=4,"Medium",IF(P48&gt;=1,"Low","None")))))</f>
        <v/>
      </c>
      <c r="R48" s="34">
        <f>IF(AND(N48=1,M48&lt;3),1,0)</f>
        <v/>
      </c>
      <c r="S48" s="34">
        <f>IF(N48=0,"",M48*G48)</f>
        <v/>
      </c>
      <c r="T48" s="34">
        <f>IF(N48=0,"",4*G48)</f>
        <v/>
      </c>
      <c r="U48" s="27" t="inlineStr">
        <is>
          <t>Rights requests arrive through the general support queue and are not separately categorised, so volumes, ageing and outcomes cannot be reported. The eight requests identified in the period were reconstructed manually from mailbox searches during this assessment. No service level is defined.</t>
        </is>
      </c>
      <c r="V48" s="27" t="inlineStr">
        <is>
          <t>WP-075</t>
        </is>
      </c>
      <c r="W48" s="27" t="inlineStr">
        <is>
          <t>Anita Desai, Head of Customer Experience</t>
        </is>
      </c>
      <c r="X48" s="27" t="inlineStr"/>
      <c r="Y48" s="33" t="inlineStr">
        <is>
          <t>Demonstrating compliance with rights obligations requires a record of requests received, actions taken and time to completion.</t>
        </is>
      </c>
      <c r="Z48" s="33" t="inlineStr">
        <is>
          <t>Are all rights requests logged in a single register with type, receipt date, action taken and completion date, and is performance against the prescribed period monitored and reported?</t>
        </is>
      </c>
      <c r="AA48" s="33" t="inlineStr">
        <is>
          <t>Inspect the register for completeness; reconcile against inbound channels to detect requests received but never logged; test elapsed times.</t>
        </is>
      </c>
      <c r="AB48" s="33" t="inlineStr">
        <is>
          <t>Consolidated rights request register across every inbound channel · Elapsed-time metrics against the prescribed period · Reporting of breaches of service level and their remediation</t>
        </is>
      </c>
      <c r="AC48" s="33" t="inlineStr">
        <is>
          <t>Up to INR 50 crore</t>
        </is>
      </c>
      <c r="AD48" s="35" t="n">
        <v>7</v>
      </c>
      <c r="AE48" s="33" t="inlineStr">
        <is>
          <t>A single register captures requests from every channel following reconciliation, elapsed times are measured against the prescribed period, and overruns are reported and remediated.</t>
        </is>
      </c>
    </row>
    <row r="49" ht="42" customHeight="1">
      <c r="A49" s="33" t="inlineStr">
        <is>
          <t>GRV-01</t>
        </is>
      </c>
      <c r="B49" s="33" t="inlineStr">
        <is>
          <t>GRV</t>
        </is>
      </c>
      <c r="C49" s="33" t="inlineStr">
        <is>
          <t>Grievance Redressal</t>
        </is>
      </c>
      <c r="D49" s="33" t="inlineStr">
        <is>
          <t>Effective grievance redressal mechanism established</t>
        </is>
      </c>
      <c r="E49" s="33" t="inlineStr">
        <is>
          <t>High</t>
        </is>
      </c>
      <c r="F49" s="34">
        <f>IF(E49="Critical",4,IF(E49="High",3,IF(E49="Medium",2,1)))</f>
        <v/>
      </c>
      <c r="G49" s="35" t="n">
        <v>1.2</v>
      </c>
      <c r="H49" s="33" t="inlineStr">
        <is>
          <t>Yes</t>
        </is>
      </c>
      <c r="I49" s="33" t="inlineStr">
        <is>
          <t>in scope</t>
        </is>
      </c>
      <c r="J49" s="33" t="inlineStr">
        <is>
          <t>s.8(9), DPDP Act, 2023</t>
        </is>
      </c>
      <c r="K49" s="33" t="inlineStr">
        <is>
          <t>—</t>
        </is>
      </c>
      <c r="L49" s="33" t="inlineStr">
        <is>
          <t>—</t>
        </is>
      </c>
      <c r="M49" s="36" t="n">
        <v>2</v>
      </c>
      <c r="N49" s="34">
        <f>IF(OR(H49="No",M49="",UPPER(M49)="NA"),0,1)</f>
        <v/>
      </c>
      <c r="O49" s="37">
        <f>IF(H49="No","Out of scope",IF(UPPER(M49)="NA","Not applicable",IF(M49="","Not assessed",IF(M49&gt;=4,"Compliant",IF(M49&gt;=3,"Substantially compliant",IF(M49&gt;=2,"Partially compliant","Non-compliant"))))))</f>
        <v/>
      </c>
      <c r="P49" s="34">
        <f>IF(N49=0,"",F49*(4-M49))</f>
        <v/>
      </c>
      <c r="Q49" s="37">
        <f>IF(P49="","",IF(P49&gt;=12,"Critical",IF(P49&gt;=8,"High",IF(P49&gt;=4,"Medium",IF(P49&gt;=1,"Low","None")))))</f>
        <v/>
      </c>
      <c r="R49" s="34">
        <f>IF(AND(N49=1,M49&lt;3),1,0)</f>
        <v/>
      </c>
      <c r="S49" s="34">
        <f>IF(N49=0,"",M49*G49)</f>
        <v/>
      </c>
      <c r="T49" s="34">
        <f>IF(N49=0,"",4*G49)</f>
        <v/>
      </c>
      <c r="U49" s="27" t="inlineStr">
        <is>
          <t>A grievance mechanism exists in the form of a web form and a support email address, both monitored. There is no defined escalation path, no distinction between a service complaint and a data protection grievance, and no owner accountable for grievance outcomes as opposed to ticket closure.</t>
        </is>
      </c>
      <c r="V49" s="27" t="inlineStr">
        <is>
          <t>WP-080</t>
        </is>
      </c>
      <c r="W49" s="27" t="inlineStr">
        <is>
          <t>Anita Desai, Head of Customer Experience</t>
        </is>
      </c>
      <c r="X49" s="27" t="inlineStr"/>
      <c r="Y49" s="33" t="inlineStr">
        <is>
          <t>A Data Fiduciary must establish an effective mechanism to redress the grievances of Data Principals.</t>
        </is>
      </c>
      <c r="Z49" s="33" t="inlineStr">
        <is>
          <t>Is there a dedicated grievance mechanism that is reachable, staffed and capable of resolving substantive data protection complaints — as distinct from a general customer support queue?</t>
        </is>
      </c>
      <c r="AA49" s="33" t="inlineStr">
        <is>
          <t>Inspect the mechanism design and staffing; re-perform by lodging a substantive grievance and following it to resolution.</t>
        </is>
      </c>
      <c r="AB49" s="33" t="inlineStr">
        <is>
          <t>Documented grievance procedure with defined ownership and escalation · Evidence of staffing and of competence to resolve data protection matters · Test grievance followed end to end with outcome recorded</t>
        </is>
      </c>
      <c r="AC49" s="33" t="inlineStr">
        <is>
          <t>Up to INR 50 crore</t>
        </is>
      </c>
      <c r="AD49" s="35" t="n">
        <v>7</v>
      </c>
      <c r="AE49" s="33" t="inlineStr">
        <is>
          <t>A dedicated, resourced mechanism with defined ownership and escalation resolves matters substantively, and end-to-end testing confirms effectiveness.</t>
        </is>
      </c>
    </row>
    <row r="50" ht="42" customHeight="1">
      <c r="A50" s="33" t="inlineStr">
        <is>
          <t>GRV-02</t>
        </is>
      </c>
      <c r="B50" s="33" t="inlineStr">
        <is>
          <t>GRV</t>
        </is>
      </c>
      <c r="C50" s="33" t="inlineStr">
        <is>
          <t>Grievance Redressal</t>
        </is>
      </c>
      <c r="D50" s="33" t="inlineStr">
        <is>
          <t>Response within the prescribed period</t>
        </is>
      </c>
      <c r="E50" s="33" t="inlineStr">
        <is>
          <t>High</t>
        </is>
      </c>
      <c r="F50" s="34">
        <f>IF(E50="Critical",4,IF(E50="High",3,IF(E50="Medium",2,1)))</f>
        <v/>
      </c>
      <c r="G50" s="35" t="n">
        <v>1.2</v>
      </c>
      <c r="H50" s="33" t="inlineStr">
        <is>
          <t>Yes</t>
        </is>
      </c>
      <c r="I50" s="33" t="inlineStr">
        <is>
          <t>in scope</t>
        </is>
      </c>
      <c r="J50" s="33" t="inlineStr">
        <is>
          <t>s.13(1), s.13(2), DPDP Act, 2023</t>
        </is>
      </c>
      <c r="K50" s="33" t="inlineStr">
        <is>
          <t>[Rules citation to be verified]</t>
        </is>
      </c>
      <c r="L50" s="33" t="inlineStr">
        <is>
          <t>VERIFY_AGAINST_NOTIFIED_RULES</t>
        </is>
      </c>
      <c r="M50" s="36" t="n">
        <v>1</v>
      </c>
      <c r="N50" s="34">
        <f>IF(OR(H50="No",M50="",UPPER(M50)="NA"),0,1)</f>
        <v/>
      </c>
      <c r="O50" s="37">
        <f>IF(H50="No","Out of scope",IF(UPPER(M50)="NA","Not applicable",IF(M50="","Not assessed",IF(M50&gt;=4,"Compliant",IF(M50&gt;=3,"Substantially compliant",IF(M50&gt;=2,"Partially compliant","Non-compliant"))))))</f>
        <v/>
      </c>
      <c r="P50" s="34">
        <f>IF(N50=0,"",F50*(4-M50))</f>
        <v/>
      </c>
      <c r="Q50" s="37">
        <f>IF(P50="","",IF(P50&gt;=12,"Critical",IF(P50&gt;=8,"High",IF(P50&gt;=4,"Medium",IF(P50&gt;=1,"Low","None")))))</f>
        <v/>
      </c>
      <c r="R50" s="34">
        <f>IF(AND(N50=1,M50&lt;3),1,0)</f>
        <v/>
      </c>
      <c r="S50" s="34">
        <f>IF(N50=0,"",M50*G50)</f>
        <v/>
      </c>
      <c r="T50" s="34">
        <f>IF(N50=0,"",4*G50)</f>
        <v/>
      </c>
      <c r="U50" s="27" t="inlineStr">
        <is>
          <t>Response times are not measured against any prescribed period because the period has not been identified and no clock is started. Sampling of 15 privacy-related tickets found a median first substantive response of 11 days and a longest of 42 days.</t>
        </is>
      </c>
      <c r="V50" s="27" t="inlineStr">
        <is>
          <t>WP-081</t>
        </is>
      </c>
      <c r="W50" s="27" t="inlineStr">
        <is>
          <t>Anita Desai, Head of Customer Experience</t>
        </is>
      </c>
      <c r="X50" s="27" t="inlineStr"/>
      <c r="Y50" s="33" t="inlineStr">
        <is>
          <t>A Data Principal has the right to readily available means of grievance redressal, and the Data Fiduciary must respond to a grievance within such period as may be prescribed.</t>
        </is>
      </c>
      <c r="Z50" s="33" t="inlineStr">
        <is>
          <t>Is the prescribed response period known, configured into the workflow as a service level, and met in practice — with performance measured rather than asserted?</t>
        </is>
      </c>
      <c r="AA50" s="33" t="inlineStr">
        <is>
          <t>Inspect service level configuration and performance data; test a sample of closed grievances for actual elapsed time.</t>
        </is>
      </c>
      <c r="AB50" s="33" t="inlineStr">
        <is>
          <t>Service level configured to the prescribed period with automated escalation · Performance data showing distribution of response times · Root-cause analysis for overruns</t>
        </is>
      </c>
      <c r="AC50" s="33" t="inlineStr">
        <is>
          <t>Up to INR 50 crore</t>
        </is>
      </c>
      <c r="AD50" s="35" t="n">
        <v>7</v>
      </c>
      <c r="AE50" s="33" t="inlineStr">
        <is>
          <t>The service level matches the prescribed period, is enforced by automated escalation, performance is measured at request level, and overruns are root-caused.</t>
        </is>
      </c>
    </row>
    <row r="51" ht="42" customHeight="1">
      <c r="A51" s="33" t="inlineStr">
        <is>
          <t>GRV-03</t>
        </is>
      </c>
      <c r="B51" s="33" t="inlineStr">
        <is>
          <t>GRV</t>
        </is>
      </c>
      <c r="C51" s="33" t="inlineStr">
        <is>
          <t>Grievance Redressal</t>
        </is>
      </c>
      <c r="D51" s="33" t="inlineStr">
        <is>
          <t>Grievance mechanism readily available and publicised</t>
        </is>
      </c>
      <c r="E51" s="33" t="inlineStr">
        <is>
          <t>Medium</t>
        </is>
      </c>
      <c r="F51" s="34">
        <f>IF(E51="Critical",4,IF(E51="High",3,IF(E51="Medium",2,1)))</f>
        <v/>
      </c>
      <c r="G51" s="35" t="n">
        <v>1</v>
      </c>
      <c r="H51" s="33" t="inlineStr">
        <is>
          <t>Yes</t>
        </is>
      </c>
      <c r="I51" s="33" t="inlineStr">
        <is>
          <t>in scope</t>
        </is>
      </c>
      <c r="J51" s="33" t="inlineStr">
        <is>
          <t>s.13(1), s.13(3), DPDP Act, 2023</t>
        </is>
      </c>
      <c r="K51" s="33" t="inlineStr">
        <is>
          <t>—</t>
        </is>
      </c>
      <c r="L51" s="33" t="inlineStr">
        <is>
          <t>—</t>
        </is>
      </c>
      <c r="M51" s="36" t="n">
        <v>3</v>
      </c>
      <c r="N51" s="34">
        <f>IF(OR(H51="No",M51="",UPPER(M51)="NA"),0,1)</f>
        <v/>
      </c>
      <c r="O51" s="37">
        <f>IF(H51="No","Out of scope",IF(UPPER(M51)="NA","Not applicable",IF(M51="","Not assessed",IF(M51&gt;=4,"Compliant",IF(M51&gt;=3,"Substantially compliant",IF(M51&gt;=2,"Partially compliant","Non-compliant"))))))</f>
        <v/>
      </c>
      <c r="P51" s="34">
        <f>IF(N51=0,"",F51*(4-M51))</f>
        <v/>
      </c>
      <c r="Q51" s="37">
        <f>IF(P51="","",IF(P51&gt;=12,"Critical",IF(P51&gt;=8,"High",IF(P51&gt;=4,"Medium",IF(P51&gt;=1,"Low","None")))))</f>
        <v/>
      </c>
      <c r="R51" s="34">
        <f>IF(AND(N51=1,M51&lt;3),1,0)</f>
        <v/>
      </c>
      <c r="S51" s="34">
        <f>IF(N51=0,"",M51*G51)</f>
        <v/>
      </c>
      <c r="T51" s="34">
        <f>IF(N51=0,"",4*G51)</f>
        <v/>
      </c>
      <c r="U51" s="27" t="inlineStr">
        <is>
          <t>The grievance route is published in the app, on the website and in the privacy policy. It is not present in the Kavach Junior parent console and is not included in transactional communications, which is where a dissatisfied Data Principal is most likely to look.</t>
        </is>
      </c>
      <c r="V51" s="27" t="inlineStr">
        <is>
          <t>WP-082</t>
        </is>
      </c>
      <c r="W51" s="27" t="inlineStr">
        <is>
          <t>Anita Desai, Head of Customer Experience</t>
        </is>
      </c>
      <c r="X51" s="27" t="inlineStr"/>
      <c r="Y51" s="33" t="inlineStr">
        <is>
          <t>The means of grievance redressal must be readily available to the Data Principal, who must exhaust the opportunity so provided before approaching the Board.</t>
        </is>
      </c>
      <c r="Z51" s="33" t="inlineStr">
        <is>
          <t>Can a Data Principal find the grievance route without difficulty from any surface on which they interact with the entity, and is it published alongside the section 8(8) contact details?</t>
        </is>
      </c>
      <c r="AA51" s="33" t="inlineStr">
        <is>
          <t>Observation: attempt to locate the grievance route as a naive user from each surface, recording steps required.</t>
        </is>
      </c>
      <c r="AB51" s="33" t="inlineStr">
        <is>
          <t>Grievance route published on website, app, notice and communications · Step count to locate the route from each surface · Consistency of the route published across surfaces</t>
        </is>
      </c>
      <c r="AC51" s="33" t="inlineStr">
        <is>
          <t>Up to INR 50 crore</t>
        </is>
      </c>
      <c r="AD51" s="35" t="n">
        <v>7</v>
      </c>
      <c r="AE51" s="33" t="inlineStr">
        <is>
          <t>The route is prominently and consistently published on every surface, discoverable in a small number of steps, and aligned with the published contact details.</t>
        </is>
      </c>
    </row>
    <row r="52" ht="42" customHeight="1">
      <c r="A52" s="33" t="inlineStr">
        <is>
          <t>GRV-04</t>
        </is>
      </c>
      <c r="B52" s="33" t="inlineStr">
        <is>
          <t>GRV</t>
        </is>
      </c>
      <c r="C52" s="33" t="inlineStr">
        <is>
          <t>Grievance Redressal</t>
        </is>
      </c>
      <c r="D52" s="33" t="inlineStr">
        <is>
          <t>Grievance trend analysis feeding remediation</t>
        </is>
      </c>
      <c r="E52" s="33" t="inlineStr">
        <is>
          <t>Low</t>
        </is>
      </c>
      <c r="F52" s="34">
        <f>IF(E52="Critical",4,IF(E52="High",3,IF(E52="Medium",2,1)))</f>
        <v/>
      </c>
      <c r="G52" s="35" t="n">
        <v>0.8</v>
      </c>
      <c r="H52" s="33" t="inlineStr">
        <is>
          <t>Yes</t>
        </is>
      </c>
      <c r="I52" s="33" t="inlineStr">
        <is>
          <t>in scope</t>
        </is>
      </c>
      <c r="J52" s="33" t="inlineStr">
        <is>
          <t>s.8(9), DPDP Act, 2023</t>
        </is>
      </c>
      <c r="K52" s="33" t="inlineStr">
        <is>
          <t>—</t>
        </is>
      </c>
      <c r="L52" s="33" t="inlineStr">
        <is>
          <t>—</t>
        </is>
      </c>
      <c r="M52" s="36" t="n">
        <v>1</v>
      </c>
      <c r="N52" s="34">
        <f>IF(OR(H52="No",M52="",UPPER(M52)="NA"),0,1)</f>
        <v/>
      </c>
      <c r="O52" s="37">
        <f>IF(H52="No","Out of scope",IF(UPPER(M52)="NA","Not applicable",IF(M52="","Not assessed",IF(M52&gt;=4,"Compliant",IF(M52&gt;=3,"Substantially compliant",IF(M52&gt;=2,"Partially compliant","Non-compliant"))))))</f>
        <v/>
      </c>
      <c r="P52" s="34">
        <f>IF(N52=0,"",F52*(4-M52))</f>
        <v/>
      </c>
      <c r="Q52" s="37">
        <f>IF(P52="","",IF(P52&gt;=12,"Critical",IF(P52&gt;=8,"High",IF(P52&gt;=4,"Medium",IF(P52&gt;=1,"Low","None")))))</f>
        <v/>
      </c>
      <c r="R52" s="34">
        <f>IF(AND(N52=1,M52&lt;3),1,0)</f>
        <v/>
      </c>
      <c r="S52" s="34">
        <f>IF(N52=0,"",M52*G52)</f>
        <v/>
      </c>
      <c r="T52" s="34">
        <f>IF(N52=0,"",4*G52)</f>
        <v/>
      </c>
      <c r="U52" s="27" t="inlineStr">
        <is>
          <t>No trend analysis is performed. Privacy grievances are not tagged, so the recurring theme identified during this assessment — inability to stop marketing contact after withdrawal — has never been reported to management as a pattern despite appearing in 9 of the 15 tickets sampled.</t>
        </is>
      </c>
      <c r="V52" s="27" t="inlineStr">
        <is>
          <t>WP-083</t>
        </is>
      </c>
      <c r="W52" s="27" t="inlineStr">
        <is>
          <t>Anita Desai, Head of Customer Experience</t>
        </is>
      </c>
      <c r="X52" s="27" t="inlineStr"/>
      <c r="Y52" s="33" t="inlineStr">
        <is>
          <t>An effective mechanism under section 8(9) implies more than case handling: the entity must be capable of identifying and addressing the systemic causes that generate grievances.</t>
        </is>
      </c>
      <c r="Z52" s="33" t="inlineStr">
        <is>
          <t>Are grievances categorised and analysed for root cause, with systemic issues escalated into the remediation plan rather than each case being closed in isolation?</t>
        </is>
      </c>
      <c r="AA52" s="33" t="inlineStr">
        <is>
          <t>Inspect grievance categorisation and trend reporting; test whether identified systemic issues resulted in a change.</t>
        </is>
      </c>
      <c r="AB52" s="33" t="inlineStr">
        <is>
          <t>Categorisation taxonomy and trend reports · Root-cause analyses for recurring categories · Evidence of process or system changes traceable to grievance trends</t>
        </is>
      </c>
      <c r="AC52" s="33" t="inlineStr">
        <is>
          <t>—</t>
        </is>
      </c>
      <c r="AD52" s="35" t="inlineStr"/>
      <c r="AE52" s="33" t="inlineStr">
        <is>
          <t>Grievances are categorised and root-caused, trends are reported to the governance forum, and there is evidence of systemic changes made in response.</t>
        </is>
      </c>
    </row>
    <row r="53" ht="42" customHeight="1">
      <c r="A53" s="33" t="inlineStr">
        <is>
          <t>SEC-01</t>
        </is>
      </c>
      <c r="B53" s="33" t="inlineStr">
        <is>
          <t>SEC</t>
        </is>
      </c>
      <c r="C53" s="33" t="inlineStr">
        <is>
          <t>Security Safeguards</t>
        </is>
      </c>
      <c r="D53" s="33" t="inlineStr">
        <is>
          <t>Reasonable security safeguards programme defined and owned</t>
        </is>
      </c>
      <c r="E53" s="33" t="inlineStr">
        <is>
          <t>Critical</t>
        </is>
      </c>
      <c r="F53" s="34">
        <f>IF(E53="Critical",4,IF(E53="High",3,IF(E53="Medium",2,1)))</f>
        <v/>
      </c>
      <c r="G53" s="35" t="n">
        <v>1.4</v>
      </c>
      <c r="H53" s="33" t="inlineStr">
        <is>
          <t>Yes</t>
        </is>
      </c>
      <c r="I53" s="33" t="inlineStr">
        <is>
          <t>in scope</t>
        </is>
      </c>
      <c r="J53" s="33" t="inlineStr">
        <is>
          <t>s.8(5), DPDP Act, 2023</t>
        </is>
      </c>
      <c r="K53" s="33" t="inlineStr">
        <is>
          <t>[Rules citation to be verified]</t>
        </is>
      </c>
      <c r="L53" s="33" t="inlineStr">
        <is>
          <t>VERIFY_AGAINST_NOTIFIED_RULES</t>
        </is>
      </c>
      <c r="M53" s="36" t="n">
        <v>3</v>
      </c>
      <c r="N53" s="34">
        <f>IF(OR(H53="No",M53="",UPPER(M53)="NA"),0,1)</f>
        <v/>
      </c>
      <c r="O53" s="37">
        <f>IF(H53="No","Out of scope",IF(UPPER(M53)="NA","Not applicable",IF(M53="","Not assessed",IF(M53&gt;=4,"Compliant",IF(M53&gt;=3,"Substantially compliant",IF(M53&gt;=2,"Partially compliant","Non-compliant"))))))</f>
        <v/>
      </c>
      <c r="P53" s="34">
        <f>IF(N53=0,"",F53*(4-M53))</f>
        <v/>
      </c>
      <c r="Q53" s="37">
        <f>IF(P53="","",IF(P53&gt;=12,"Critical",IF(P53&gt;=8,"High",IF(P53&gt;=4,"Medium",IF(P53&gt;=1,"Low","None")))))</f>
        <v/>
      </c>
      <c r="R53" s="34">
        <f>IF(AND(N53=1,M53&lt;3),1,0)</f>
        <v/>
      </c>
      <c r="S53" s="34">
        <f>IF(N53=0,"",M53*G53)</f>
        <v/>
      </c>
      <c r="T53" s="34">
        <f>IF(N53=0,"",4*G53)</f>
        <v/>
      </c>
      <c r="U53" s="27" t="inlineStr">
        <is>
          <t>A security programme aligned to ISO 27001 is defined, owned by the CISO and certified, with the certificate valid to August 2027. The statement of applicability is scoped to the payments platform and excludes the collections subsidiary and the corporate HRMS, both of which hold personal data.</t>
        </is>
      </c>
      <c r="V53" s="27" t="inlineStr">
        <is>
          <t>WP-090</t>
        </is>
      </c>
      <c r="W53" s="27" t="inlineStr">
        <is>
          <t>Arjun Nair, Chief Information Security Officer</t>
        </is>
      </c>
      <c r="X53" s="27" t="inlineStr"/>
      <c r="Y53" s="33" t="inlineStr">
        <is>
          <t>A Data Fiduciary must protect personal data in its possession or under its control, including in respect of any processing undertaken by it or on its behalf by a Data Processor, by taking reasonable security safeguards to prevent a personal data breach.</t>
        </is>
      </c>
      <c r="Z53" s="33" t="inlineStr">
        <is>
          <t>Is there a defined, owned and approved set of security safeguards for personal data specifically — mapped to the measures the Rules prescribe — rather than a general IT security posture assumed to be sufficient?</t>
        </is>
      </c>
      <c r="AA53" s="33" t="inlineStr">
        <is>
          <t>Inspect the safeguards standard and its mapping to prescribed measures; enquire of the owner; corroborate implementation for a sample of measures.</t>
        </is>
      </c>
      <c r="AB53" s="33" t="inlineStr">
        <is>
          <t>Approved security standard applicable to personal data, with named owner · Mapping of implemented controls to each prescribed safeguard · Evidence of periodic review and of gaps being tracked</t>
        </is>
      </c>
      <c r="AC53" s="33" t="inlineStr">
        <is>
          <t>Up to INR 250 crore</t>
        </is>
      </c>
      <c r="AD53" s="35" t="n">
        <v>1</v>
      </c>
      <c r="AE53" s="33" t="inlineStr">
        <is>
          <t>A personal-data-specific safeguards standard is approved and owned, explicitly mapped to each prescribed measure, with residual gaps tracked and periodically reviewed.</t>
        </is>
      </c>
    </row>
    <row r="54" ht="42" customHeight="1">
      <c r="A54" s="33" t="inlineStr">
        <is>
          <t>SEC-02</t>
        </is>
      </c>
      <c r="B54" s="33" t="inlineStr">
        <is>
          <t>SEC</t>
        </is>
      </c>
      <c r="C54" s="33" t="inlineStr">
        <is>
          <t>Security Safeguards</t>
        </is>
      </c>
      <c r="D54" s="33" t="inlineStr">
        <is>
          <t>Access control and least privilege over personal data</t>
        </is>
      </c>
      <c r="E54" s="33" t="inlineStr">
        <is>
          <t>Critical</t>
        </is>
      </c>
      <c r="F54" s="34">
        <f>IF(E54="Critical",4,IF(E54="High",3,IF(E54="Medium",2,1)))</f>
        <v/>
      </c>
      <c r="G54" s="35" t="n">
        <v>1.3</v>
      </c>
      <c r="H54" s="33" t="inlineStr">
        <is>
          <t>Yes</t>
        </is>
      </c>
      <c r="I54" s="33" t="inlineStr">
        <is>
          <t>in scope</t>
        </is>
      </c>
      <c r="J54" s="33" t="inlineStr">
        <is>
          <t>s.8(4), s.8(5), DPDP Act, 2023</t>
        </is>
      </c>
      <c r="K54" s="33" t="inlineStr">
        <is>
          <t>[Rules citation to be verified]</t>
        </is>
      </c>
      <c r="L54" s="33" t="inlineStr">
        <is>
          <t>VERIFY_AGAINST_NOTIFIED_RULES</t>
        </is>
      </c>
      <c r="M54" s="36" t="n">
        <v>3</v>
      </c>
      <c r="N54" s="34">
        <f>IF(OR(H54="No",M54="",UPPER(M54)="NA"),0,1)</f>
        <v/>
      </c>
      <c r="O54" s="37">
        <f>IF(H54="No","Out of scope",IF(UPPER(M54)="NA","Not applicable",IF(M54="","Not assessed",IF(M54&gt;=4,"Compliant",IF(M54&gt;=3,"Substantially compliant",IF(M54&gt;=2,"Partially compliant","Non-compliant"))))))</f>
        <v/>
      </c>
      <c r="P54" s="34">
        <f>IF(N54=0,"",F54*(4-M54))</f>
        <v/>
      </c>
      <c r="Q54" s="37">
        <f>IF(P54="","",IF(P54&gt;=12,"Critical",IF(P54&gt;=8,"High",IF(P54&gt;=4,"Medium",IF(P54&gt;=1,"Low","None")))))</f>
        <v/>
      </c>
      <c r="R54" s="34">
        <f>IF(AND(N54=1,M54&lt;3),1,0)</f>
        <v/>
      </c>
      <c r="S54" s="34">
        <f>IF(N54=0,"",M54*G54)</f>
        <v/>
      </c>
      <c r="T54" s="34">
        <f>IF(N54=0,"",4*G54)</f>
        <v/>
      </c>
      <c r="U54" s="27" t="inlineStr">
        <is>
          <t>Role-based access control is enforced through Okta with quarterly recertification for production systems. Recertification does not extend to Snowflake, where 41 analyst accounts hold read access to unmasked customer tables, including 7 belonging to former contractors whose engagements have ended.</t>
        </is>
      </c>
      <c r="V54" s="27" t="inlineStr">
        <is>
          <t>WP-091</t>
        </is>
      </c>
      <c r="W54" s="27" t="inlineStr">
        <is>
          <t>Arjun Nair, Chief Information Security Officer</t>
        </is>
      </c>
      <c r="X54" s="27" t="inlineStr"/>
      <c r="Y54" s="33" t="inlineStr">
        <is>
          <t>Reasonable security safeguards include controls that restrict access to personal data to those who require it, as part of appropriate technical and organisational measures.</t>
        </is>
      </c>
      <c r="Z54" s="33" t="inlineStr">
        <is>
          <t>Is access to personal data granted on least privilege, subject to periodic recertification, and promptly revoked on role change or exit — including for engineers with production database access and for vendor accounts?</t>
        </is>
      </c>
      <c r="AA54" s="33" t="inlineStr">
        <is>
          <t>Inspect access lists against role requirements; test leaver revocation for a sample; re-perform a privilege review for one high-risk system.</t>
        </is>
      </c>
      <c r="AB54" s="33" t="inlineStr">
        <is>
          <t>Role-based access model with documented entitlements per role · Periodic access recertification records with evidence of revocations · Leaver and role-change revocation testing, including vendor accounts</t>
        </is>
      </c>
      <c r="AC54" s="33" t="inlineStr">
        <is>
          <t>Up to INR 250 crore</t>
        </is>
      </c>
      <c r="AD54" s="35" t="n">
        <v>1</v>
      </c>
      <c r="AE54" s="33" t="inlineStr">
        <is>
          <t>Least privilege is enforced with just-in-time or approval-gated access to production personal data, recertification is timely and evidenced with actual revocations, and leaver revocation testing passes.</t>
        </is>
      </c>
    </row>
    <row r="55" ht="42" customHeight="1">
      <c r="A55" s="33" t="inlineStr">
        <is>
          <t>SEC-03</t>
        </is>
      </c>
      <c r="B55" s="33" t="inlineStr">
        <is>
          <t>SEC</t>
        </is>
      </c>
      <c r="C55" s="33" t="inlineStr">
        <is>
          <t>Security Safeguards</t>
        </is>
      </c>
      <c r="D55" s="33" t="inlineStr">
        <is>
          <t>Encryption, masking or obfuscation of personal data</t>
        </is>
      </c>
      <c r="E55" s="33" t="inlineStr">
        <is>
          <t>Critical</t>
        </is>
      </c>
      <c r="F55" s="34">
        <f>IF(E55="Critical",4,IF(E55="High",3,IF(E55="Medium",2,1)))</f>
        <v/>
      </c>
      <c r="G55" s="35" t="n">
        <v>1.3</v>
      </c>
      <c r="H55" s="33" t="inlineStr">
        <is>
          <t>Yes</t>
        </is>
      </c>
      <c r="I55" s="33" t="inlineStr">
        <is>
          <t>in scope</t>
        </is>
      </c>
      <c r="J55" s="33" t="inlineStr">
        <is>
          <t>s.8(5) read with the Rules, DPDP Act, 2023</t>
        </is>
      </c>
      <c r="K55" s="33" t="inlineStr">
        <is>
          <t>[Rules citation to be verified]</t>
        </is>
      </c>
      <c r="L55" s="33" t="inlineStr">
        <is>
          <t>VERIFY_AGAINST_NOTIFIED_RULES</t>
        </is>
      </c>
      <c r="M55" s="36" t="n">
        <v>3</v>
      </c>
      <c r="N55" s="34">
        <f>IF(OR(H55="No",M55="",UPPER(M55)="NA"),0,1)</f>
        <v/>
      </c>
      <c r="O55" s="37">
        <f>IF(H55="No","Out of scope",IF(UPPER(M55)="NA","Not applicable",IF(M55="","Not assessed",IF(M55&gt;=4,"Compliant",IF(M55&gt;=3,"Substantially compliant",IF(M55&gt;=2,"Partially compliant","Non-compliant"))))))</f>
        <v/>
      </c>
      <c r="P55" s="34">
        <f>IF(N55=0,"",F55*(4-M55))</f>
        <v/>
      </c>
      <c r="Q55" s="37">
        <f>IF(P55="","",IF(P55&gt;=12,"Critical",IF(P55&gt;=8,"High",IF(P55&gt;=4,"Medium",IF(P55&gt;=1,"Low","None")))))</f>
        <v/>
      </c>
      <c r="R55" s="34">
        <f>IF(AND(N55=1,M55&lt;3),1,0)</f>
        <v/>
      </c>
      <c r="S55" s="34">
        <f>IF(N55=0,"",M55*G55)</f>
        <v/>
      </c>
      <c r="T55" s="34">
        <f>IF(N55=0,"",4*G55)</f>
        <v/>
      </c>
      <c r="U55" s="27" t="inlineStr">
        <is>
          <t>Data is encrypted at rest with AWS KMS and in transit with TLS 1.2 or above. Column-level masking is applied in the production database but not in Snowflake or in the pre-production environments, which are refreshed from production without obfuscation.</t>
        </is>
      </c>
      <c r="V55" s="27" t="inlineStr">
        <is>
          <t>WP-092</t>
        </is>
      </c>
      <c r="W55" s="27" t="inlineStr">
        <is>
          <t>Arjun Nair, Chief Information Security Officer</t>
        </is>
      </c>
      <c r="X55" s="27" t="inlineStr"/>
      <c r="Y55" s="33" t="inlineStr">
        <is>
          <t>Reasonable security safeguards are understood to include measures such as encryption, obfuscation, masking or the use of virtual tokens to protect personal data.</t>
        </is>
      </c>
      <c r="Z55" s="33" t="inlineStr">
        <is>
          <t>Is personal data protected in transit and at rest, and is it masked or tokenised in non-production environments, logs, analytics extracts and support tooling?</t>
        </is>
      </c>
      <c r="AA55" s="33" t="inlineStr">
        <is>
          <t>Inspect encryption configuration for transport and storage; test non-production environments and logs for unmasked personal data.</t>
        </is>
      </c>
      <c r="AB55" s="33" t="inlineStr">
        <is>
          <t>Transport and at-rest encryption configuration with key management · Masking or tokenisation in non-production, logs and analytics extracts · Evidence of testing for unmasked personal data outside production</t>
        </is>
      </c>
      <c r="AC55" s="33" t="inlineStr">
        <is>
          <t>Up to INR 250 crore</t>
        </is>
      </c>
      <c r="AD55" s="35" t="n">
        <v>1</v>
      </c>
      <c r="AE55" s="33" t="inlineStr">
        <is>
          <t>Encryption covers transit and rest with managed keys, non-production data is masked or synthetic, logs and analytics extracts are scrubbed, and testing confirms no unmasked personal data outside production.</t>
        </is>
      </c>
    </row>
    <row r="56" ht="42" customHeight="1">
      <c r="A56" s="33" t="inlineStr">
        <is>
          <t>SEC-04</t>
        </is>
      </c>
      <c r="B56" s="33" t="inlineStr">
        <is>
          <t>SEC</t>
        </is>
      </c>
      <c r="C56" s="33" t="inlineStr">
        <is>
          <t>Security Safeguards</t>
        </is>
      </c>
      <c r="D56" s="33" t="inlineStr">
        <is>
          <t>Logging, monitoring and detection</t>
        </is>
      </c>
      <c r="E56" s="33" t="inlineStr">
        <is>
          <t>High</t>
        </is>
      </c>
      <c r="F56" s="34">
        <f>IF(E56="Critical",4,IF(E56="High",3,IF(E56="Medium",2,1)))</f>
        <v/>
      </c>
      <c r="G56" s="35" t="n">
        <v>1.2</v>
      </c>
      <c r="H56" s="33" t="inlineStr">
        <is>
          <t>Yes</t>
        </is>
      </c>
      <c r="I56" s="33" t="inlineStr">
        <is>
          <t>in scope</t>
        </is>
      </c>
      <c r="J56" s="33" t="inlineStr">
        <is>
          <t>s.8(5) read with the Rules, DPDP Act, 2023</t>
        </is>
      </c>
      <c r="K56" s="33" t="inlineStr">
        <is>
          <t>[Rules citation to be verified]</t>
        </is>
      </c>
      <c r="L56" s="33" t="inlineStr">
        <is>
          <t>VERIFY_AGAINST_NOTIFIED_RULES</t>
        </is>
      </c>
      <c r="M56" s="36" t="n">
        <v>4</v>
      </c>
      <c r="N56" s="34">
        <f>IF(OR(H56="No",M56="",UPPER(M56)="NA"),0,1)</f>
        <v/>
      </c>
      <c r="O56" s="37">
        <f>IF(H56="No","Out of scope",IF(UPPER(M56)="NA","Not applicable",IF(M56="","Not assessed",IF(M56&gt;=4,"Compliant",IF(M56&gt;=3,"Substantially compliant",IF(M56&gt;=2,"Partially compliant","Non-compliant"))))))</f>
        <v/>
      </c>
      <c r="P56" s="34">
        <f>IF(N56=0,"",F56*(4-M56))</f>
        <v/>
      </c>
      <c r="Q56" s="37">
        <f>IF(P56="","",IF(P56&gt;=12,"Critical",IF(P56&gt;=8,"High",IF(P56&gt;=4,"Medium",IF(P56&gt;=1,"Low","None")))))</f>
        <v/>
      </c>
      <c r="R56" s="34">
        <f>IF(AND(N56=1,M56&lt;3),1,0)</f>
        <v/>
      </c>
      <c r="S56" s="34">
        <f>IF(N56=0,"",M56*G56)</f>
        <v/>
      </c>
      <c r="T56" s="34">
        <f>IF(N56=0,"",4*G56)</f>
        <v/>
      </c>
      <c r="U56" s="27" t="inlineStr">
        <is>
          <t>Centralised logging into a managed SIEM covers all in-scope production systems, with documented use cases for privileged access, bulk export and anomalous query patterns. Alert tuning is reviewed monthly and the 24x7 monitoring arrangement was evidenced through three sampled alerts and their disposition.</t>
        </is>
      </c>
      <c r="V56" s="27" t="inlineStr">
        <is>
          <t>WP-093</t>
        </is>
      </c>
      <c r="W56" s="27" t="inlineStr">
        <is>
          <t>Arjun Nair, Chief Information Security Officer</t>
        </is>
      </c>
      <c r="X56" s="27" t="inlineStr"/>
      <c r="Y56" s="33" t="inlineStr">
        <is>
          <t>Safeguards to prevent a personal data breach include the ability to detect unauthorised access, and the retention of logs to enable investigation.</t>
        </is>
      </c>
      <c r="Z56" s="33" t="inlineStr">
        <is>
          <t>Are access and activity logs over personal data captured, retained for the prescribed period, protected from tampering, and actively monitored with alerting — as opposed to retained but never examined?</t>
        </is>
      </c>
      <c r="AA56" s="33" t="inlineStr">
        <is>
          <t>Inspect logging coverage and retention configuration; test alerting by reviewing recent detections and their handling; assess log integrity controls.</t>
        </is>
      </c>
      <c r="AB56" s="33" t="inlineStr">
        <is>
          <t>Logging coverage across systems holding personal data, including administrative access · Retention configuration meeting the prescribed period, with tamper protection · Alert definitions and evidence of alerts investigated and closed</t>
        </is>
      </c>
      <c r="AC56" s="33" t="inlineStr">
        <is>
          <t>Up to INR 250 crore</t>
        </is>
      </c>
      <c r="AD56" s="35" t="n">
        <v>1</v>
      </c>
      <c r="AE56" s="33" t="inlineStr">
        <is>
          <t>Comprehensive tamper-protected logging is retained for the prescribed period, anomalous access generates alerts, and there is evidence of alerts being investigated and closed.</t>
        </is>
      </c>
    </row>
    <row r="57" ht="42" customHeight="1">
      <c r="A57" s="33" t="inlineStr">
        <is>
          <t>SEC-05</t>
        </is>
      </c>
      <c r="B57" s="33" t="inlineStr">
        <is>
          <t>SEC</t>
        </is>
      </c>
      <c r="C57" s="33" t="inlineStr">
        <is>
          <t>Security Safeguards</t>
        </is>
      </c>
      <c r="D57" s="33" t="inlineStr">
        <is>
          <t>Vulnerability management and patching</t>
        </is>
      </c>
      <c r="E57" s="33" t="inlineStr">
        <is>
          <t>High</t>
        </is>
      </c>
      <c r="F57" s="34">
        <f>IF(E57="Critical",4,IF(E57="High",3,IF(E57="Medium",2,1)))</f>
        <v/>
      </c>
      <c r="G57" s="35" t="n">
        <v>1.2</v>
      </c>
      <c r="H57" s="33" t="inlineStr">
        <is>
          <t>Yes</t>
        </is>
      </c>
      <c r="I57" s="33" t="inlineStr">
        <is>
          <t>in scope</t>
        </is>
      </c>
      <c r="J57" s="33" t="inlineStr">
        <is>
          <t>s.8(5), DPDP Act, 2023</t>
        </is>
      </c>
      <c r="K57" s="33" t="inlineStr">
        <is>
          <t>[Rules citation to be verified]</t>
        </is>
      </c>
      <c r="L57" s="33" t="inlineStr">
        <is>
          <t>VERIFY_AGAINST_NOTIFIED_RULES</t>
        </is>
      </c>
      <c r="M57" s="36" t="n">
        <v>3</v>
      </c>
      <c r="N57" s="34">
        <f>IF(OR(H57="No",M57="",UPPER(M57)="NA"),0,1)</f>
        <v/>
      </c>
      <c r="O57" s="37">
        <f>IF(H57="No","Out of scope",IF(UPPER(M57)="NA","Not applicable",IF(M57="","Not assessed",IF(M57&gt;=4,"Compliant",IF(M57&gt;=3,"Substantially compliant",IF(M57&gt;=2,"Partially compliant","Non-compliant"))))))</f>
        <v/>
      </c>
      <c r="P57" s="34">
        <f>IF(N57=0,"",F57*(4-M57))</f>
        <v/>
      </c>
      <c r="Q57" s="37">
        <f>IF(P57="","",IF(P57&gt;=12,"Critical",IF(P57&gt;=8,"High",IF(P57&gt;=4,"Medium",IF(P57&gt;=1,"Low","None")))))</f>
        <v/>
      </c>
      <c r="R57" s="34">
        <f>IF(AND(N57=1,M57&lt;3),1,0)</f>
        <v/>
      </c>
      <c r="S57" s="34">
        <f>IF(N57=0,"",M57*G57)</f>
        <v/>
      </c>
      <c r="T57" s="34">
        <f>IF(N57=0,"",4*G57)</f>
        <v/>
      </c>
      <c r="U57" s="27" t="inlineStr">
        <is>
          <t>Vulnerability scanning runs weekly with defined remediation SLAs. Of 23 critical findings raised in the period, 19 were closed within SLA; the four exceptions relate to the legacy PPI ledger and have been open for over 120 days without a documented risk acceptance.</t>
        </is>
      </c>
      <c r="V57" s="27" t="inlineStr">
        <is>
          <t>WP-094</t>
        </is>
      </c>
      <c r="W57" s="27" t="inlineStr">
        <is>
          <t>Arjun Nair, Chief Information Security Officer</t>
        </is>
      </c>
      <c r="X57" s="27" t="inlineStr"/>
      <c r="Y57" s="33" t="inlineStr">
        <is>
          <t>Taking reasonable safeguards to prevent a breach requires identification and remediation of known vulnerabilities in systems processing personal data.</t>
        </is>
      </c>
      <c r="Z57" s="33" t="inlineStr">
        <is>
          <t>Are systems holding personal data scanned and penetration tested on a defined cycle, with findings remediated to timescales tied to severity, and is the remediation backlog aged and reported?</t>
        </is>
      </c>
      <c r="AA57" s="33" t="inlineStr">
        <is>
          <t>Inspect scan and test reports; test remediation timeliness against stated timescales; review the aged backlog for overdue critical findings.</t>
        </is>
      </c>
      <c r="AB57" s="33" t="inlineStr">
        <is>
          <t>Vulnerability scan and penetration test reports for the current cycle · Remediation timescales by severity and performance against them · Aged backlog with escalation of overdue high-severity items</t>
        </is>
      </c>
      <c r="AC57" s="33" t="inlineStr">
        <is>
          <t>Up to INR 250 crore</t>
        </is>
      </c>
      <c r="AD57" s="35" t="n">
        <v>1</v>
      </c>
      <c r="AE57" s="33" t="inlineStr">
        <is>
          <t>Scanning and testing run on a defined cycle, remediation meets severity-based timescales, and the aged backlog is reported to governance with overdue items escalated.</t>
        </is>
      </c>
    </row>
    <row r="58" ht="42" customHeight="1">
      <c r="A58" s="33" t="inlineStr">
        <is>
          <t>SEC-06</t>
        </is>
      </c>
      <c r="B58" s="33" t="inlineStr">
        <is>
          <t>SEC</t>
        </is>
      </c>
      <c r="C58" s="33" t="inlineStr">
        <is>
          <t>Security Safeguards</t>
        </is>
      </c>
      <c r="D58" s="33" t="inlineStr">
        <is>
          <t>Secure development and change control</t>
        </is>
      </c>
      <c r="E58" s="33" t="inlineStr">
        <is>
          <t>High</t>
        </is>
      </c>
      <c r="F58" s="34">
        <f>IF(E58="Critical",4,IF(E58="High",3,IF(E58="Medium",2,1)))</f>
        <v/>
      </c>
      <c r="G58" s="35" t="n">
        <v>1.1</v>
      </c>
      <c r="H58" s="33" t="inlineStr">
        <is>
          <t>Yes</t>
        </is>
      </c>
      <c r="I58" s="33" t="inlineStr">
        <is>
          <t>in scope</t>
        </is>
      </c>
      <c r="J58" s="33" t="inlineStr">
        <is>
          <t>s.8(4), s.8(5), DPDP Act, 2023</t>
        </is>
      </c>
      <c r="K58" s="33" t="inlineStr">
        <is>
          <t>[Rules citation to be verified]</t>
        </is>
      </c>
      <c r="L58" s="33" t="inlineStr">
        <is>
          <t>VERIFY_AGAINST_NOTIFIED_RULES</t>
        </is>
      </c>
      <c r="M58" s="36" t="n">
        <v>3</v>
      </c>
      <c r="N58" s="34">
        <f>IF(OR(H58="No",M58="",UPPER(M58)="NA"),0,1)</f>
        <v/>
      </c>
      <c r="O58" s="37">
        <f>IF(H58="No","Out of scope",IF(UPPER(M58)="NA","Not applicable",IF(M58="","Not assessed",IF(M58&gt;=4,"Compliant",IF(M58&gt;=3,"Substantially compliant",IF(M58&gt;=2,"Partially compliant","Non-compliant"))))))</f>
        <v/>
      </c>
      <c r="P58" s="34">
        <f>IF(N58=0,"",F58*(4-M58))</f>
        <v/>
      </c>
      <c r="Q58" s="37">
        <f>IF(P58="","",IF(P58&gt;=12,"Critical",IF(P58&gt;=8,"High",IF(P58&gt;=4,"Medium",IF(P58&gt;=1,"Low","None")))))</f>
        <v/>
      </c>
      <c r="R58" s="34">
        <f>IF(AND(N58=1,M58&lt;3),1,0)</f>
        <v/>
      </c>
      <c r="S58" s="34">
        <f>IF(N58=0,"",M58*G58)</f>
        <v/>
      </c>
      <c r="T58" s="34">
        <f>IF(N58=0,"",4*G58)</f>
        <v/>
      </c>
      <c r="U58" s="27" t="inlineStr">
        <is>
          <t>Change management is enforced through Freshservice with peer review and automated security testing in the pipeline. Emergency changes bypass the control and 14 per cent of production changes in the period were classified as emergency, which is high enough to weaken the assurance the control provides.</t>
        </is>
      </c>
      <c r="V58" s="27" t="inlineStr">
        <is>
          <t>WP-095</t>
        </is>
      </c>
      <c r="W58" s="27" t="inlineStr">
        <is>
          <t>Devika Iyer, VP Engineering</t>
        </is>
      </c>
      <c r="X58" s="27" t="inlineStr"/>
      <c r="Y58" s="33" t="inlineStr">
        <is>
          <t>Appropriate technical and organisational measures extend to the process by which systems processing personal data are built and changed.</t>
        </is>
      </c>
      <c r="Z58" s="33" t="inlineStr">
        <is>
          <t>Do changes to systems processing personal data pass through security review, testing and approval, with secrets management and code review enforced rather than advisory?</t>
        </is>
      </c>
      <c r="AA58" s="33" t="inlineStr">
        <is>
          <t>Inspect the change control process; sample recent changes to personal-data systems for evidence of review and approval; test secrets handling in the repository.</t>
        </is>
      </c>
      <c r="AB58" s="33" t="inlineStr">
        <is>
          <t>Change control procedure with mandatory security review gates · Sample change records showing review and approval before deployment · Secrets management implementation and evidence of repository scanning</t>
        </is>
      </c>
      <c r="AC58" s="33" t="inlineStr">
        <is>
          <t>Up to INR 250 crore</t>
        </is>
      </c>
      <c r="AD58" s="35" t="n">
        <v>1</v>
      </c>
      <c r="AE58" s="33" t="inlineStr">
        <is>
          <t>Security review is a mandatory gate with evidence of enforcement, code review is required, secrets are centrally managed, and repository scanning confirms no embedded credentials.</t>
        </is>
      </c>
    </row>
    <row r="59" ht="42" customHeight="1">
      <c r="A59" s="33" t="inlineStr">
        <is>
          <t>SEC-07</t>
        </is>
      </c>
      <c r="B59" s="33" t="inlineStr">
        <is>
          <t>SEC</t>
        </is>
      </c>
      <c r="C59" s="33" t="inlineStr">
        <is>
          <t>Security Safeguards</t>
        </is>
      </c>
      <c r="D59" s="33" t="inlineStr">
        <is>
          <t>Backup, recovery and integrity</t>
        </is>
      </c>
      <c r="E59" s="33" t="inlineStr">
        <is>
          <t>High</t>
        </is>
      </c>
      <c r="F59" s="34">
        <f>IF(E59="Critical",4,IF(E59="High",3,IF(E59="Medium",2,1)))</f>
        <v/>
      </c>
      <c r="G59" s="35" t="n">
        <v>1.1</v>
      </c>
      <c r="H59" s="33" t="inlineStr">
        <is>
          <t>Yes</t>
        </is>
      </c>
      <c r="I59" s="33" t="inlineStr">
        <is>
          <t>in scope</t>
        </is>
      </c>
      <c r="J59" s="33" t="inlineStr">
        <is>
          <t>s.8(4), s.8(5) read with the Rules, DPDP Act, 2023</t>
        </is>
      </c>
      <c r="K59" s="33" t="inlineStr">
        <is>
          <t>[Rules citation to be verified]</t>
        </is>
      </c>
      <c r="L59" s="33" t="inlineStr">
        <is>
          <t>VERIFY_AGAINST_NOTIFIED_RULES</t>
        </is>
      </c>
      <c r="M59" s="36" t="n">
        <v>4</v>
      </c>
      <c r="N59" s="34">
        <f>IF(OR(H59="No",M59="",UPPER(M59)="NA"),0,1)</f>
        <v/>
      </c>
      <c r="O59" s="37">
        <f>IF(H59="No","Out of scope",IF(UPPER(M59)="NA","Not applicable",IF(M59="","Not assessed",IF(M59&gt;=4,"Compliant",IF(M59&gt;=3,"Substantially compliant",IF(M59&gt;=2,"Partially compliant","Non-compliant"))))))</f>
        <v/>
      </c>
      <c r="P59" s="34">
        <f>IF(N59=0,"",F59*(4-M59))</f>
        <v/>
      </c>
      <c r="Q59" s="37">
        <f>IF(P59="","",IF(P59&gt;=12,"Critical",IF(P59&gt;=8,"High",IF(P59&gt;=4,"Medium",IF(P59&gt;=1,"Low","None")))))</f>
        <v/>
      </c>
      <c r="R59" s="34">
        <f>IF(AND(N59=1,M59&lt;3),1,0)</f>
        <v/>
      </c>
      <c r="S59" s="34">
        <f>IF(N59=0,"",M59*G59)</f>
        <v/>
      </c>
      <c r="T59" s="34">
        <f>IF(N59=0,"",4*G59)</f>
        <v/>
      </c>
      <c r="U59" s="27" t="inlineStr">
        <is>
          <t>Backups are encrypted, replicated across availability zones and restore-tested quarterly. The two restore tests in the period met their objectives and are documented with evidence of data integrity verification.</t>
        </is>
      </c>
      <c r="V59" s="27" t="inlineStr">
        <is>
          <t>WP-096</t>
        </is>
      </c>
      <c r="W59" s="27" t="inlineStr">
        <is>
          <t>Arjun Nair, Chief Information Security Officer</t>
        </is>
      </c>
      <c r="X59" s="27" t="inlineStr"/>
      <c r="Y59" s="33" t="inlineStr">
        <is>
          <t>Safeguards are understood to include measures for continued processing in the event of loss of availability, including backups, and for maintaining the integrity of personal data.</t>
        </is>
      </c>
      <c r="Z59" s="33" t="inlineStr">
        <is>
          <t>Are backups of personal data taken, encrypted, access-controlled and restore-tested — and is the retention and erasure position for backups reconciled with the erasure obligation?</t>
        </is>
      </c>
      <c r="AA59" s="33" t="inlineStr">
        <is>
          <t>Inspect backup configuration and encryption; review restore test records; assess how erasure requests are reconciled against backup media.</t>
        </is>
      </c>
      <c r="AB59" s="33" t="inlineStr">
        <is>
          <t>Backup configuration with encryption and restricted access · Restore test records with dates and outcomes · Documented position on erasure and backups, including re-erasure on restore</t>
        </is>
      </c>
      <c r="AC59" s="33" t="inlineStr">
        <is>
          <t>Up to INR 250 crore</t>
        </is>
      </c>
      <c r="AD59" s="35" t="n">
        <v>1</v>
      </c>
      <c r="AE59" s="33" t="inlineStr">
        <is>
          <t>Backups are encrypted and access-controlled, restore testing is periodic and evidenced, and a documented position governs erasure in backups including re-erasure following restore.</t>
        </is>
      </c>
    </row>
    <row r="60" ht="42" customHeight="1">
      <c r="A60" s="33" t="inlineStr">
        <is>
          <t>SEC-08</t>
        </is>
      </c>
      <c r="B60" s="33" t="inlineStr">
        <is>
          <t>SEC</t>
        </is>
      </c>
      <c r="C60" s="33" t="inlineStr">
        <is>
          <t>Security Safeguards</t>
        </is>
      </c>
      <c r="D60" s="33" t="inlineStr">
        <is>
          <t>Personnel, endpoint and physical safeguards</t>
        </is>
      </c>
      <c r="E60" s="33" t="inlineStr">
        <is>
          <t>High</t>
        </is>
      </c>
      <c r="F60" s="34">
        <f>IF(E60="Critical",4,IF(E60="High",3,IF(E60="Medium",2,1)))</f>
        <v/>
      </c>
      <c r="G60" s="35" t="n">
        <v>1.1</v>
      </c>
      <c r="H60" s="33" t="inlineStr">
        <is>
          <t>Yes</t>
        </is>
      </c>
      <c r="I60" s="33" t="inlineStr">
        <is>
          <t>in scope</t>
        </is>
      </c>
      <c r="J60" s="33" t="inlineStr">
        <is>
          <t>s.8(4), s.8(5), DPDP Act, 2023</t>
        </is>
      </c>
      <c r="K60" s="33" t="inlineStr">
        <is>
          <t>[Rules citation to be verified]</t>
        </is>
      </c>
      <c r="L60" s="33" t="inlineStr">
        <is>
          <t>VERIFY_AGAINST_NOTIFIED_RULES</t>
        </is>
      </c>
      <c r="M60" s="36" t="n">
        <v>3</v>
      </c>
      <c r="N60" s="34">
        <f>IF(OR(H60="No",M60="",UPPER(M60)="NA"),0,1)</f>
        <v/>
      </c>
      <c r="O60" s="37">
        <f>IF(H60="No","Out of scope",IF(UPPER(M60)="NA","Not applicable",IF(M60="","Not assessed",IF(M60&gt;=4,"Compliant",IF(M60&gt;=3,"Substantially compliant",IF(M60&gt;=2,"Partially compliant","Non-compliant"))))))</f>
        <v/>
      </c>
      <c r="P60" s="34">
        <f>IF(N60=0,"",F60*(4-M60))</f>
        <v/>
      </c>
      <c r="Q60" s="37">
        <f>IF(P60="","",IF(P60&gt;=12,"Critical",IF(P60&gt;=8,"High",IF(P60&gt;=4,"Medium",IF(P60&gt;=1,"Low","None")))))</f>
        <v/>
      </c>
      <c r="R60" s="34">
        <f>IF(AND(N60=1,M60&lt;3),1,0)</f>
        <v/>
      </c>
      <c r="S60" s="34">
        <f>IF(N60=0,"",M60*G60)</f>
        <v/>
      </c>
      <c r="T60" s="34">
        <f>IF(N60=0,"",4*G60)</f>
        <v/>
      </c>
      <c r="U60" s="27" t="inlineStr">
        <is>
          <t>Background verification, confidentiality undertakings, endpoint management and data loss prevention are in place for employees. Contractors in the collections subsidiary use personally-owned devices with no endpoint control, and physical access to the collections floor is not restricted from the general office area.</t>
        </is>
      </c>
      <c r="V60" s="27" t="inlineStr">
        <is>
          <t>WP-097</t>
        </is>
      </c>
      <c r="W60" s="27" t="inlineStr">
        <is>
          <t>Arjun Nair, Chief Information Security Officer</t>
        </is>
      </c>
      <c r="X60" s="27" t="inlineStr"/>
      <c r="Y60" s="33" t="inlineStr">
        <is>
          <t>Organisational safeguards extend to the people and devices through which personal data is accessed, and to physical records where digitised data originates.</t>
        </is>
      </c>
      <c r="Z60" s="33" t="inlineStr">
        <is>
          <t>Are personnel with access to personal data subject to background verification and confidentiality obligations, are endpoints managed and encrypted, and is data exfiltration controlled — including via support tooling and bulk export?</t>
        </is>
      </c>
      <c r="AA60" s="33" t="inlineStr">
        <is>
          <t>Inspect personnel screening and confidentiality records; test endpoint management coverage; assess controls over bulk export and removable media.</t>
        </is>
      </c>
      <c r="AB60" s="33" t="inlineStr">
        <is>
          <t>Background verification and confidentiality undertakings for personnel with access · Endpoint management and encryption coverage reports · Controls over bulk export, removable media and screen capture in support tooling</t>
        </is>
      </c>
      <c r="AC60" s="33" t="inlineStr">
        <is>
          <t>Up to INR 250 crore</t>
        </is>
      </c>
      <c r="AD60" s="35" t="n">
        <v>1</v>
      </c>
      <c r="AE60" s="33" t="inlineStr">
        <is>
          <t>Screening and confidentiality obligations are complete, endpoint coverage is near-total and evidenced, and bulk export is gated by approval and monitored with alerting.</t>
        </is>
      </c>
    </row>
    <row r="61" ht="42" customHeight="1">
      <c r="A61" s="33" t="inlineStr">
        <is>
          <t>SEC-09</t>
        </is>
      </c>
      <c r="B61" s="33" t="inlineStr">
        <is>
          <t>SEC</t>
        </is>
      </c>
      <c r="C61" s="33" t="inlineStr">
        <is>
          <t>Security Safeguards</t>
        </is>
      </c>
      <c r="D61" s="33" t="inlineStr">
        <is>
          <t>Effectiveness of safeguards independently tested</t>
        </is>
      </c>
      <c r="E61" s="33" t="inlineStr">
        <is>
          <t>High</t>
        </is>
      </c>
      <c r="F61" s="34">
        <f>IF(E61="Critical",4,IF(E61="High",3,IF(E61="Medium",2,1)))</f>
        <v/>
      </c>
      <c r="G61" s="35" t="n">
        <v>1.2</v>
      </c>
      <c r="H61" s="33" t="inlineStr">
        <is>
          <t>Yes</t>
        </is>
      </c>
      <c r="I61" s="33" t="inlineStr">
        <is>
          <t>in scope</t>
        </is>
      </c>
      <c r="J61" s="33" t="inlineStr">
        <is>
          <t>s.8(5), DPDP Act, 2023</t>
        </is>
      </c>
      <c r="K61" s="33" t="inlineStr">
        <is>
          <t>[Rules citation to be verified]</t>
        </is>
      </c>
      <c r="L61" s="33" t="inlineStr">
        <is>
          <t>VERIFY_AGAINST_NOTIFIED_RULES</t>
        </is>
      </c>
      <c r="M61" s="36" t="n">
        <v>3</v>
      </c>
      <c r="N61" s="34">
        <f>IF(OR(H61="No",M61="",UPPER(M61)="NA"),0,1)</f>
        <v/>
      </c>
      <c r="O61" s="37">
        <f>IF(H61="No","Out of scope",IF(UPPER(M61)="NA","Not applicable",IF(M61="","Not assessed",IF(M61&gt;=4,"Compliant",IF(M61&gt;=3,"Substantially compliant",IF(M61&gt;=2,"Partially compliant","Non-compliant"))))))</f>
        <v/>
      </c>
      <c r="P61" s="34">
        <f>IF(N61=0,"",F61*(4-M61))</f>
        <v/>
      </c>
      <c r="Q61" s="37">
        <f>IF(P61="","",IF(P61&gt;=12,"Critical",IF(P61&gt;=8,"High",IF(P61&gt;=4,"Medium",IF(P61&gt;=1,"Low","None")))))</f>
        <v/>
      </c>
      <c r="R61" s="34">
        <f>IF(AND(N61=1,M61&lt;3),1,0)</f>
        <v/>
      </c>
      <c r="S61" s="34">
        <f>IF(N61=0,"",M61*G61)</f>
        <v/>
      </c>
      <c r="T61" s="34">
        <f>IF(N61=0,"",4*G61)</f>
        <v/>
      </c>
      <c r="U61" s="27" t="inlineStr">
        <is>
          <t>Annual penetration testing by an external firm covers the application and infrastructure, and the most recent report is dated March 2026 with findings tracked to closure. Testing has never been directed at the privacy controls themselves — consent enforcement, erasure completeness or access segregation in the warehouse.</t>
        </is>
      </c>
      <c r="V61" s="27" t="inlineStr">
        <is>
          <t>WP-098</t>
        </is>
      </c>
      <c r="W61" s="27" t="inlineStr">
        <is>
          <t>Arjun Nair, Chief Information Security Officer</t>
        </is>
      </c>
      <c r="X61" s="27" t="inlineStr"/>
      <c r="Y61" s="33" t="inlineStr">
        <is>
          <t>The standard in section 8(5) is reasonableness, which is assessed against outcomes rather than intent. An entity relying on untested controls cannot demonstrate that its safeguards are reasonable.</t>
        </is>
      </c>
      <c r="Z61" s="33" t="inlineStr">
        <is>
          <t>Has the effectiveness of the safeguards been independently tested — internal audit, external assessment, red team — and were the findings remediated and retested?</t>
        </is>
      </c>
      <c r="AA61" s="33" t="inlineStr">
        <is>
          <t>Inspect independent assessment reports and management responses; test whether findings were remediated and validated by retest.</t>
        </is>
      </c>
      <c r="AB61" s="33" t="inlineStr">
        <is>
          <t>Independent assessment or audit reports covering personal data safeguards · Management responses with owners and dates · Retest evidence confirming remediation</t>
        </is>
      </c>
      <c r="AC61" s="33" t="inlineStr">
        <is>
          <t>Up to INR 250 crore</t>
        </is>
      </c>
      <c r="AD61" s="35" t="n">
        <v>1</v>
      </c>
      <c r="AE61" s="33" t="inlineStr">
        <is>
          <t>Independent testing occurs on a defined cycle, findings are tracked to closure with owners and dates, and remediation is validated by retest.</t>
        </is>
      </c>
    </row>
    <row r="62" ht="42" customHeight="1">
      <c r="A62" s="33" t="inlineStr">
        <is>
          <t>BRC-01</t>
        </is>
      </c>
      <c r="B62" s="33" t="inlineStr">
        <is>
          <t>BRC</t>
        </is>
      </c>
      <c r="C62" s="33" t="inlineStr">
        <is>
          <t>Personal Data Breach Notification</t>
        </is>
      </c>
      <c r="D62" s="33" t="inlineStr">
        <is>
          <t>Personal data breach correctly defined in internal procedure</t>
        </is>
      </c>
      <c r="E62" s="33" t="inlineStr">
        <is>
          <t>Critical</t>
        </is>
      </c>
      <c r="F62" s="34">
        <f>IF(E62="Critical",4,IF(E62="High",3,IF(E62="Medium",2,1)))</f>
        <v/>
      </c>
      <c r="G62" s="35" t="n">
        <v>1.3</v>
      </c>
      <c r="H62" s="33" t="inlineStr">
        <is>
          <t>Yes</t>
        </is>
      </c>
      <c r="I62" s="33" t="inlineStr">
        <is>
          <t>in scope</t>
        </is>
      </c>
      <c r="J62" s="33" t="inlineStr">
        <is>
          <t>s.2, DPDP Act, 2023 (definition of "personal data breach"), read with s.8(6)</t>
        </is>
      </c>
      <c r="K62" s="33" t="inlineStr">
        <is>
          <t>—</t>
        </is>
      </c>
      <c r="L62" s="33" t="inlineStr">
        <is>
          <t>—</t>
        </is>
      </c>
      <c r="M62" s="36" t="n">
        <v>3</v>
      </c>
      <c r="N62" s="34">
        <f>IF(OR(H62="No",M62="",UPPER(M62)="NA"),0,1)</f>
        <v/>
      </c>
      <c r="O62" s="37">
        <f>IF(H62="No","Out of scope",IF(UPPER(M62)="NA","Not applicable",IF(M62="","Not assessed",IF(M62&gt;=4,"Compliant",IF(M62&gt;=3,"Substantially compliant",IF(M62&gt;=2,"Partially compliant","Non-compliant"))))))</f>
        <v/>
      </c>
      <c r="P62" s="34">
        <f>IF(N62=0,"",F62*(4-M62))</f>
        <v/>
      </c>
      <c r="Q62" s="37">
        <f>IF(P62="","",IF(P62&gt;=12,"Critical",IF(P62&gt;=8,"High",IF(P62&gt;=4,"Medium",IF(P62&gt;=1,"Low","None")))))</f>
        <v/>
      </c>
      <c r="R62" s="34">
        <f>IF(AND(N62=1,M62&lt;3),1,0)</f>
        <v/>
      </c>
      <c r="S62" s="34">
        <f>IF(N62=0,"",M62*G62)</f>
        <v/>
      </c>
      <c r="T62" s="34">
        <f>IF(N62=0,"",4*G62)</f>
        <v/>
      </c>
      <c r="U62" s="27" t="inlineStr">
        <is>
          <t>The incident response procedure defines a personal data breach and correctly captures unauthorised disclosure, acquisition, sharing, use, alteration, destruction and loss of access. The definition is annexed to the security procedure rather than integrated into triage, and the severity matrix used by the on-call team is framed around availability and financial impact only, so a confidentiality-only event scores low and may not escalate.</t>
        </is>
      </c>
      <c r="V62" s="27" t="inlineStr">
        <is>
          <t>WP-100</t>
        </is>
      </c>
      <c r="W62" s="27" t="inlineStr">
        <is>
          <t>Arjun Nair, Chief Information Security Officer</t>
        </is>
      </c>
      <c r="X62" s="27" t="inlineStr"/>
      <c r="Y62" s="33" t="inlineStr">
        <is>
          <t>A personal data breach means any unauthorised processing of personal data or accidental disclosure, acquisition, sharing, use, alteration, destruction or loss of access to personal data that compromises its confidentiality, integrity or availability.</t>
        </is>
      </c>
      <c r="Z62" s="33" t="inlineStr">
        <is>
          <t>Does the internal definition match the statutory one — capturing loss of availability and integrity, accidental internal disclosure, and unauthorised internal access, not merely external attack?</t>
        </is>
      </c>
      <c r="AA62" s="33" t="inlineStr">
        <is>
          <t>Inspect the incident procedure definition against the statutory wording; test classification of a sample of past incidents against it.</t>
        </is>
      </c>
      <c r="AB62" s="33" t="inlineStr">
        <is>
          <t>Incident procedure reproducing the statutory definition · Classification criteria distinguishing a personal data breach from other incidents · Sample of past incidents classified against the definition</t>
        </is>
      </c>
      <c r="AC62" s="33" t="inlineStr">
        <is>
          <t>Up to INR 200 crore</t>
        </is>
      </c>
      <c r="AD62" s="35" t="n">
        <v>2</v>
      </c>
      <c r="AE62" s="33" t="inlineStr">
        <is>
          <t>The definition mirrors the statutory scope, classification criteria are documented and applied consistently, and testing of past incidents confirms correct classification.</t>
        </is>
      </c>
    </row>
    <row r="63" ht="42" customHeight="1">
      <c r="A63" s="33" t="inlineStr">
        <is>
          <t>BRC-02</t>
        </is>
      </c>
      <c r="B63" s="33" t="inlineStr">
        <is>
          <t>BRC</t>
        </is>
      </c>
      <c r="C63" s="33" t="inlineStr">
        <is>
          <t>Personal Data Breach Notification</t>
        </is>
      </c>
      <c r="D63" s="33" t="inlineStr">
        <is>
          <t>Detection and escalation capability</t>
        </is>
      </c>
      <c r="E63" s="33" t="inlineStr">
        <is>
          <t>Critical</t>
        </is>
      </c>
      <c r="F63" s="34">
        <f>IF(E63="Critical",4,IF(E63="High",3,IF(E63="Medium",2,1)))</f>
        <v/>
      </c>
      <c r="G63" s="35" t="n">
        <v>1.3</v>
      </c>
      <c r="H63" s="33" t="inlineStr">
        <is>
          <t>Yes</t>
        </is>
      </c>
      <c r="I63" s="33" t="inlineStr">
        <is>
          <t>in scope</t>
        </is>
      </c>
      <c r="J63" s="33" t="inlineStr">
        <is>
          <t>s.8(5), s.8(6), DPDP Act, 2023</t>
        </is>
      </c>
      <c r="K63" s="33" t="inlineStr">
        <is>
          <t>[Rules citation to be verified]</t>
        </is>
      </c>
      <c r="L63" s="33" t="inlineStr">
        <is>
          <t>VERIFY_AGAINST_NOTIFIED_RULES</t>
        </is>
      </c>
      <c r="M63" s="36" t="n">
        <v>3</v>
      </c>
      <c r="N63" s="34">
        <f>IF(OR(H63="No",M63="",UPPER(M63)="NA"),0,1)</f>
        <v/>
      </c>
      <c r="O63" s="37">
        <f>IF(H63="No","Out of scope",IF(UPPER(M63)="NA","Not applicable",IF(M63="","Not assessed",IF(M63&gt;=4,"Compliant",IF(M63&gt;=3,"Substantially compliant",IF(M63&gt;=2,"Partially compliant","Non-compliant"))))))</f>
        <v/>
      </c>
      <c r="P63" s="34">
        <f>IF(N63=0,"",F63*(4-M63))</f>
        <v/>
      </c>
      <c r="Q63" s="37">
        <f>IF(P63="","",IF(P63&gt;=12,"Critical",IF(P63&gt;=8,"High",IF(P63&gt;=4,"Medium",IF(P63&gt;=1,"Low","None")))))</f>
        <v/>
      </c>
      <c r="R63" s="34">
        <f>IF(AND(N63=1,M63&lt;3),1,0)</f>
        <v/>
      </c>
      <c r="S63" s="34">
        <f>IF(N63=0,"",M63*G63)</f>
        <v/>
      </c>
      <c r="T63" s="34">
        <f>IF(N63=0,"",4*G63)</f>
        <v/>
      </c>
      <c r="U63" s="27" t="inlineStr">
        <is>
          <t>Detection is strong for infrastructure and application events. Detection of breaches arising from misuse of legitimate access — the Snowflake exposure at SEC-02 being the clearest example — is not covered by any use case, and the two incidents in the period were both identified through customer complaint rather than monitoring.</t>
        </is>
      </c>
      <c r="V63" s="27" t="inlineStr">
        <is>
          <t>WP-101</t>
        </is>
      </c>
      <c r="W63" s="27" t="inlineStr">
        <is>
          <t>Arjun Nair, Chief Information Security Officer</t>
        </is>
      </c>
      <c r="X63" s="27" t="inlineStr"/>
      <c r="Y63" s="33" t="inlineStr">
        <is>
          <t>The obligation to intimate a breach presupposes the capability to become aware of it. Detection and internal escalation must be sufficient to bring a breach to the attention of those responsible for notification within the prescribed window.</t>
        </is>
      </c>
      <c r="Z63" s="33" t="inlineStr">
        <is>
          <t>How would the entity learn of a breach, and how quickly would it reach the person accountable for notification — including breaches originating at a processor or reported by a customer or researcher?</t>
        </is>
      </c>
      <c r="AA63" s="33" t="inlineStr">
        <is>
          <t>Inspect detection sources and escalation paths; measure escalation time in recent incidents; test the intake route for externally reported breaches.</t>
        </is>
      </c>
      <c r="AB63" s="33" t="inlineStr">
        <is>
          <t>Detection sources including monitoring, processor notification and external reports · Escalation path with defined timescales to the accountable owner · Measured escalation times from recent incidents</t>
        </is>
      </c>
      <c r="AC63" s="33" t="inlineStr">
        <is>
          <t>Up to INR 200 crore</t>
        </is>
      </c>
      <c r="AD63" s="35" t="n">
        <v>2</v>
      </c>
      <c r="AE63" s="33" t="inlineStr">
        <is>
          <t>Multiple detection sources feed a defined escalation path with timescales that fit inside the notification window, externally reported breaches have a published intake route, and escalation times are measured.</t>
        </is>
      </c>
    </row>
    <row r="64" ht="42" customHeight="1">
      <c r="A64" s="33" t="inlineStr">
        <is>
          <t>BRC-03</t>
        </is>
      </c>
      <c r="B64" s="33" t="inlineStr">
        <is>
          <t>BRC</t>
        </is>
      </c>
      <c r="C64" s="33" t="inlineStr">
        <is>
          <t>Personal Data Breach Notification</t>
        </is>
      </c>
      <c r="D64" s="33" t="inlineStr">
        <is>
          <t>Intimation to the Board in the prescribed form and time</t>
        </is>
      </c>
      <c r="E64" s="33" t="inlineStr">
        <is>
          <t>Critical</t>
        </is>
      </c>
      <c r="F64" s="34">
        <f>IF(E64="Critical",4,IF(E64="High",3,IF(E64="Medium",2,1)))</f>
        <v/>
      </c>
      <c r="G64" s="35" t="n">
        <v>1.4</v>
      </c>
      <c r="H64" s="33" t="inlineStr">
        <is>
          <t>Yes</t>
        </is>
      </c>
      <c r="I64" s="33" t="inlineStr">
        <is>
          <t>in scope</t>
        </is>
      </c>
      <c r="J64" s="33" t="inlineStr">
        <is>
          <t>s.8(6), DPDP Act, 2023</t>
        </is>
      </c>
      <c r="K64" s="33" t="inlineStr">
        <is>
          <t>[Rules citation to be verified]</t>
        </is>
      </c>
      <c r="L64" s="33" t="inlineStr">
        <is>
          <t>VERIFY_AGAINST_NOTIFIED_RULES</t>
        </is>
      </c>
      <c r="M64" s="36" t="n">
        <v>2</v>
      </c>
      <c r="N64" s="34">
        <f>IF(OR(H64="No",M64="",UPPER(M64)="NA"),0,1)</f>
        <v/>
      </c>
      <c r="O64" s="37">
        <f>IF(H64="No","Out of scope",IF(UPPER(M64)="NA","Not applicable",IF(M64="","Not assessed",IF(M64&gt;=4,"Compliant",IF(M64&gt;=3,"Substantially compliant",IF(M64&gt;=2,"Partially compliant","Non-compliant"))))))</f>
        <v/>
      </c>
      <c r="P64" s="34">
        <f>IF(N64=0,"",F64*(4-M64))</f>
        <v/>
      </c>
      <c r="Q64" s="37">
        <f>IF(P64="","",IF(P64&gt;=12,"Critical",IF(P64&gt;=8,"High",IF(P64&gt;=4,"Medium",IF(P64&gt;=1,"Low","None")))))</f>
        <v/>
      </c>
      <c r="R64" s="34">
        <f>IF(AND(N64=1,M64&lt;3),1,0)</f>
        <v/>
      </c>
      <c r="S64" s="34">
        <f>IF(N64=0,"",M64*G64)</f>
        <v/>
      </c>
      <c r="T64" s="34">
        <f>IF(N64=0,"",4*G64)</f>
        <v/>
      </c>
      <c r="U64" s="27" t="inlineStr">
        <is>
          <t>The procedure requires intimation to the Board but names neither the form nor the period, both of which are left as 'per applicable law'. Neither of the two incidents in the period was assessed for reportability, and no intimation has ever been prepared or rehearsed. Given that s.8(6) carries the second highest penalty in the Schedule, the absence of an operable mechanism is a material exposure.</t>
        </is>
      </c>
      <c r="V64" s="27" t="inlineStr">
        <is>
          <t>WP-102</t>
        </is>
      </c>
      <c r="W64" s="27" t="inlineStr">
        <is>
          <t>Meera Raghunathan, Head of Legal &amp; Compliance</t>
        </is>
      </c>
      <c r="X64" s="27" t="inlineStr"/>
      <c r="Y64" s="33" t="inlineStr">
        <is>
          <t>In the event of a personal data breach, the Data Fiduciary must give the Board intimation of the breach in such form and manner as may be prescribed.</t>
        </is>
      </c>
      <c r="Z64" s="33" t="inlineStr">
        <is>
          <t>Is the prescribed form, content and timing of intimation to the Board built into the incident runbook, with a pre-drafted template and a named signatory available out of hours?</t>
        </is>
      </c>
      <c r="AA64" s="33" t="inlineStr">
        <is>
          <t>Inspect the runbook and notification template against the prescribed requirements; test the availability of the signatory and the submission channel.</t>
        </is>
      </c>
      <c r="AB64" s="33" t="inlineStr">
        <is>
          <t>Runbook step with the prescribed timescale and content requirements · Pre-drafted intimation template covering every prescribed field · Named signatory with an out-of-hours deputy, and a tested submission route</t>
        </is>
      </c>
      <c r="AC64" s="33" t="inlineStr">
        <is>
          <t>Up to INR 200 crore</t>
        </is>
      </c>
      <c r="AD64" s="35" t="n">
        <v>2</v>
      </c>
      <c r="AE64" s="33" t="inlineStr">
        <is>
          <t>A pre-drafted template covers every prescribed field, the timescale is embedded with escalation, the signatory has a deputy, and the submission route has been tested.</t>
        </is>
      </c>
    </row>
    <row r="65" ht="42" customHeight="1">
      <c r="A65" s="33" t="inlineStr">
        <is>
          <t>BRC-04</t>
        </is>
      </c>
      <c r="B65" s="33" t="inlineStr">
        <is>
          <t>BRC</t>
        </is>
      </c>
      <c r="C65" s="33" t="inlineStr">
        <is>
          <t>Personal Data Breach Notification</t>
        </is>
      </c>
      <c r="D65" s="33" t="inlineStr">
        <is>
          <t>Intimation to each affected Data Principal</t>
        </is>
      </c>
      <c r="E65" s="33" t="inlineStr">
        <is>
          <t>Critical</t>
        </is>
      </c>
      <c r="F65" s="34">
        <f>IF(E65="Critical",4,IF(E65="High",3,IF(E65="Medium",2,1)))</f>
        <v/>
      </c>
      <c r="G65" s="35" t="n">
        <v>1.4</v>
      </c>
      <c r="H65" s="33" t="inlineStr">
        <is>
          <t>Yes</t>
        </is>
      </c>
      <c r="I65" s="33" t="inlineStr">
        <is>
          <t>in scope</t>
        </is>
      </c>
      <c r="J65" s="33" t="inlineStr">
        <is>
          <t>s.8(6), DPDP Act, 2023</t>
        </is>
      </c>
      <c r="K65" s="33" t="inlineStr">
        <is>
          <t>[Rules citation to be verified]</t>
        </is>
      </c>
      <c r="L65" s="33" t="inlineStr">
        <is>
          <t>VERIFY_AGAINST_NOTIFIED_RULES</t>
        </is>
      </c>
      <c r="M65" s="36" t="n">
        <v>2</v>
      </c>
      <c r="N65" s="34">
        <f>IF(OR(H65="No",M65="",UPPER(M65)="NA"),0,1)</f>
        <v/>
      </c>
      <c r="O65" s="37">
        <f>IF(H65="No","Out of scope",IF(UPPER(M65)="NA","Not applicable",IF(M65="","Not assessed",IF(M65&gt;=4,"Compliant",IF(M65&gt;=3,"Substantially compliant",IF(M65&gt;=2,"Partially compliant","Non-compliant"))))))</f>
        <v/>
      </c>
      <c r="P65" s="34">
        <f>IF(N65=0,"",F65*(4-M65))</f>
        <v/>
      </c>
      <c r="Q65" s="37">
        <f>IF(P65="","",IF(P65&gt;=12,"Critical",IF(P65&gt;=8,"High",IF(P65&gt;=4,"Medium",IF(P65&gt;=1,"Low","None")))))</f>
        <v/>
      </c>
      <c r="R65" s="34">
        <f>IF(AND(N65=1,M65&lt;3),1,0)</f>
        <v/>
      </c>
      <c r="S65" s="34">
        <f>IF(N65=0,"",M65*G65)</f>
        <v/>
      </c>
      <c r="T65" s="34">
        <f>IF(N65=0,"",4*G65)</f>
        <v/>
      </c>
      <c r="U65" s="27" t="inlineStr">
        <is>
          <t>There is no template, channel or owner for intimation to affected Data Principals. The one incident in the period that affected identifiable individuals — 3,400 loan applicants whose data was exposed through a misconfigured partner API — was handled by customer service on a reactive basis, with no proactive intimation and no record of who was told what.</t>
        </is>
      </c>
      <c r="V65" s="27" t="inlineStr">
        <is>
          <t>WP-103</t>
        </is>
      </c>
      <c r="W65" s="27" t="inlineStr">
        <is>
          <t>Anita Desai, Head of Customer Experience</t>
        </is>
      </c>
      <c r="X65" s="27" t="inlineStr"/>
      <c r="Y65" s="33" t="inlineStr">
        <is>
          <t>The Data Fiduciary must give intimation of a personal data breach to each affected Data Principal, in such form and manner as may be prescribed.</t>
        </is>
      </c>
      <c r="Z65" s="33" t="inlineStr">
        <is>
          <t>Can the entity identify every affected Data Principal and reach each of them within the prescribed period — including individuals whose only contact detail is stale, and dormant accounts?</t>
        </is>
      </c>
      <c r="AA65" s="33" t="inlineStr">
        <is>
          <t>Re-performance: for a hypothetical breach of a defined dataset, require the entity to produce the affected population and demonstrate the notification mechanism at that volume.</t>
        </is>
      </c>
      <c r="AB65" s="33" t="inlineStr">
        <is>
          <t>Capability to derive the affected population from a defined breach scope · Mass notification mechanism tested at realistic volume · Approach for individuals with stale or absent contact details</t>
        </is>
      </c>
      <c r="AC65" s="33" t="inlineStr">
        <is>
          <t>Up to INR 200 crore</t>
        </is>
      </c>
      <c r="AD65" s="35" t="n">
        <v>2</v>
      </c>
      <c r="AE65" s="33" t="inlineStr">
        <is>
          <t>The affected population can be derived promptly from breach scope, mass notification is tested at realistic volume across channels, and a documented approach covers unreachable individuals.</t>
        </is>
      </c>
    </row>
    <row r="66" ht="42" customHeight="1">
      <c r="A66" s="33" t="inlineStr">
        <is>
          <t>BRC-05</t>
        </is>
      </c>
      <c r="B66" s="33" t="inlineStr">
        <is>
          <t>BRC</t>
        </is>
      </c>
      <c r="C66" s="33" t="inlineStr">
        <is>
          <t>Personal Data Breach Notification</t>
        </is>
      </c>
      <c r="D66" s="33" t="inlineStr">
        <is>
          <t>Breach register and documentation</t>
        </is>
      </c>
      <c r="E66" s="33" t="inlineStr">
        <is>
          <t>High</t>
        </is>
      </c>
      <c r="F66" s="34">
        <f>IF(E66="Critical",4,IF(E66="High",3,IF(E66="Medium",2,1)))</f>
        <v/>
      </c>
      <c r="G66" s="35" t="n">
        <v>1.2</v>
      </c>
      <c r="H66" s="33" t="inlineStr">
        <is>
          <t>Yes</t>
        </is>
      </c>
      <c r="I66" s="33" t="inlineStr">
        <is>
          <t>in scope</t>
        </is>
      </c>
      <c r="J66" s="33" t="inlineStr">
        <is>
          <t>s.8(6), s.33(2), DPDP Act, 2023</t>
        </is>
      </c>
      <c r="K66" s="33" t="inlineStr">
        <is>
          <t>—</t>
        </is>
      </c>
      <c r="L66" s="33" t="inlineStr">
        <is>
          <t>—</t>
        </is>
      </c>
      <c r="M66" s="36" t="n">
        <v>3</v>
      </c>
      <c r="N66" s="34">
        <f>IF(OR(H66="No",M66="",UPPER(M66)="NA"),0,1)</f>
        <v/>
      </c>
      <c r="O66" s="37">
        <f>IF(H66="No","Out of scope",IF(UPPER(M66)="NA","Not applicable",IF(M66="","Not assessed",IF(M66&gt;=4,"Compliant",IF(M66&gt;=3,"Substantially compliant",IF(M66&gt;=2,"Partially compliant","Non-compliant"))))))</f>
        <v/>
      </c>
      <c r="P66" s="34">
        <f>IF(N66=0,"",F66*(4-M66))</f>
        <v/>
      </c>
      <c r="Q66" s="37">
        <f>IF(P66="","",IF(P66&gt;=12,"Critical",IF(P66&gt;=8,"High",IF(P66&gt;=4,"Medium",IF(P66&gt;=1,"Low","None")))))</f>
        <v/>
      </c>
      <c r="R66" s="34">
        <f>IF(AND(N66=1,M66&lt;3),1,0)</f>
        <v/>
      </c>
      <c r="S66" s="34">
        <f>IF(N66=0,"",M66*G66)</f>
        <v/>
      </c>
      <c r="T66" s="34">
        <f>IF(N66=0,"",4*G66)</f>
        <v/>
      </c>
      <c r="U66" s="27" t="inlineStr">
        <is>
          <t>A breach register is maintained in Freshservice with cause, systems affected and remediation. Entries do not record the categories or volume of personal data affected, or the reportability assessment, both of which would be the first things sought in an inquiry.</t>
        </is>
      </c>
      <c r="V66" s="27" t="inlineStr">
        <is>
          <t>WP-104</t>
        </is>
      </c>
      <c r="W66" s="27" t="inlineStr">
        <is>
          <t>Arjun Nair, Chief Information Security Officer</t>
        </is>
      </c>
      <c r="X66" s="27" t="inlineStr"/>
      <c r="Y66" s="33" t="inlineStr">
        <is>
          <t>Demonstrating compliance with section 8(6), and relying on mitigation as a factor in the determination of penalty under section 33(2), both require a contemporaneous record of breaches, decisions and actions taken.</t>
        </is>
      </c>
      <c r="Z66" s="33" t="inlineStr">
        <is>
          <t>Is every incident recorded with its classification, the reasoning where it was assessed as not a personal data breach, notification decisions and timings, and remedial action?</t>
        </is>
      </c>
      <c r="AA66" s="33" t="inlineStr">
        <is>
          <t>Inspect the breach register for completeness; reconcile against security incident tickets to detect breaches recorded only as technical incidents.</t>
        </is>
      </c>
      <c r="AB66" s="33" t="inlineStr">
        <is>
          <t>Breach register with classification, reasoning, notification record and remediation · Reconciliation against security incident tickets · Documented reasoning where an incident was assessed as not notifiable</t>
        </is>
      </c>
      <c r="AC66" s="33" t="inlineStr">
        <is>
          <t>Up to INR 200 crore</t>
        </is>
      </c>
      <c r="AD66" s="35" t="n">
        <v>2</v>
      </c>
      <c r="AE66" s="33" t="inlineStr">
        <is>
          <t>A complete register records classification with reasoning, notification decisions and timings, and remediation, and is reconciled to incident tickets on a defined cycle.</t>
        </is>
      </c>
    </row>
    <row r="67" ht="42" customHeight="1">
      <c r="A67" s="33" t="inlineStr">
        <is>
          <t>BRC-06</t>
        </is>
      </c>
      <c r="B67" s="33" t="inlineStr">
        <is>
          <t>BRC</t>
        </is>
      </c>
      <c r="C67" s="33" t="inlineStr">
        <is>
          <t>Personal Data Breach Notification</t>
        </is>
      </c>
      <c r="D67" s="33" t="inlineStr">
        <is>
          <t>Breach response rehearsed and post-incident remediation tracked</t>
        </is>
      </c>
      <c r="E67" s="33" t="inlineStr">
        <is>
          <t>High</t>
        </is>
      </c>
      <c r="F67" s="34">
        <f>IF(E67="Critical",4,IF(E67="High",3,IF(E67="Medium",2,1)))</f>
        <v/>
      </c>
      <c r="G67" s="35" t="n">
        <v>1.1</v>
      </c>
      <c r="H67" s="33" t="inlineStr">
        <is>
          <t>Yes</t>
        </is>
      </c>
      <c r="I67" s="33" t="inlineStr">
        <is>
          <t>in scope</t>
        </is>
      </c>
      <c r="J67" s="33" t="inlineStr">
        <is>
          <t>s.8(6), s.33(2), DPDP Act, 2023</t>
        </is>
      </c>
      <c r="K67" s="33" t="inlineStr">
        <is>
          <t>—</t>
        </is>
      </c>
      <c r="L67" s="33" t="inlineStr">
        <is>
          <t>—</t>
        </is>
      </c>
      <c r="M67" s="36" t="n">
        <v>2</v>
      </c>
      <c r="N67" s="34">
        <f>IF(OR(H67="No",M67="",UPPER(M67)="NA"),0,1)</f>
        <v/>
      </c>
      <c r="O67" s="37">
        <f>IF(H67="No","Out of scope",IF(UPPER(M67)="NA","Not applicable",IF(M67="","Not assessed",IF(M67&gt;=4,"Compliant",IF(M67&gt;=3,"Substantially compliant",IF(M67&gt;=2,"Partially compliant","Non-compliant"))))))</f>
        <v/>
      </c>
      <c r="P67" s="34">
        <f>IF(N67=0,"",F67*(4-M67))</f>
        <v/>
      </c>
      <c r="Q67" s="37">
        <f>IF(P67="","",IF(P67&gt;=12,"Critical",IF(P67&gt;=8,"High",IF(P67&gt;=4,"Medium",IF(P67&gt;=1,"Low","None")))))</f>
        <v/>
      </c>
      <c r="R67" s="34">
        <f>IF(AND(N67=1,M67&lt;3),1,0)</f>
        <v/>
      </c>
      <c r="S67" s="34">
        <f>IF(N67=0,"",M67*G67)</f>
        <v/>
      </c>
      <c r="T67" s="34">
        <f>IF(N67=0,"",4*G67)</f>
        <v/>
      </c>
      <c r="U67" s="27" t="inlineStr">
        <is>
          <t>A tabletop exercise was conducted in October 2025 covering a ransomware scenario. No exercise has tested a personal data breach requiring regulatory and Data Principal intimation. Post-incident actions from the partner API incident remain open six months later with no owner recorded.</t>
        </is>
      </c>
      <c r="V67" s="27" t="inlineStr">
        <is>
          <t>WP-105</t>
        </is>
      </c>
      <c r="W67" s="27" t="inlineStr">
        <is>
          <t>Arjun Nair, Chief Information Security Officer</t>
        </is>
      </c>
      <c r="X67" s="27" t="inlineStr"/>
      <c r="Y67" s="33" t="inlineStr">
        <is>
          <t>Section 33(2) makes the promptness, effectiveness and timeliness of mitigating action an express factor in determining the quantum of any penalty, which makes tested response capability directly material to exposure.</t>
        </is>
      </c>
      <c r="Z67" s="33" t="inlineStr">
        <is>
          <t>Has the breach response been rehearsed within the last twelve months against a scenario involving notification to the Board and to Data Principals, and were the lessons tracked to closure?</t>
        </is>
      </c>
      <c r="AA67" s="33" t="inlineStr">
        <is>
          <t>Inspect rehearsal records and after-action reports; test whether identified deficiencies were remediated.</t>
        </is>
      </c>
      <c r="AB67" s="33" t="inlineStr">
        <is>
          <t>Tabletop or simulation records including a notification-triggering scenario · After-action report with identified deficiencies and owners · Evidence of deficiencies remediated and retested</t>
        </is>
      </c>
      <c r="AC67" s="33" t="inlineStr">
        <is>
          <t>Up to INR 200 crore</t>
        </is>
      </c>
      <c r="AD67" s="35" t="n">
        <v>2</v>
      </c>
      <c r="AE67" s="33" t="inlineStr">
        <is>
          <t>Rehearsals occur at least annually against notification-triggering scenarios, exercise both Board and Data Principal intimation, and after-action items are tracked to closure and retested.</t>
        </is>
      </c>
    </row>
    <row r="68" ht="42" customHeight="1">
      <c r="A68" s="33" t="inlineStr">
        <is>
          <t>CHD-01</t>
        </is>
      </c>
      <c r="B68" s="33" t="inlineStr">
        <is>
          <t>CHD</t>
        </is>
      </c>
      <c r="C68" s="33" t="inlineStr">
        <is>
          <t>Children &amp; Persons with Disability</t>
        </is>
      </c>
      <c r="D68" s="33" t="inlineStr">
        <is>
          <t>Age determination and identification of child users</t>
        </is>
      </c>
      <c r="E68" s="33" t="inlineStr">
        <is>
          <t>Critical</t>
        </is>
      </c>
      <c r="F68" s="34">
        <f>IF(E68="Critical",4,IF(E68="High",3,IF(E68="Medium",2,1)))</f>
        <v/>
      </c>
      <c r="G68" s="35" t="n">
        <v>1.3</v>
      </c>
      <c r="H68" s="33" t="inlineStr">
        <is>
          <t>Yes</t>
        </is>
      </c>
      <c r="I68" s="33" t="inlineStr">
        <is>
          <t>in scope</t>
        </is>
      </c>
      <c r="J68" s="33" t="inlineStr">
        <is>
          <t>s.2, DPDP Act, 2023 (definition of "child"), read with s.9(1)</t>
        </is>
      </c>
      <c r="K68" s="33" t="inlineStr">
        <is>
          <t>[Rules citation to be verified]</t>
        </is>
      </c>
      <c r="L68" s="33" t="inlineStr">
        <is>
          <t>VERIFY_AGAINST_NOTIFIED_RULES</t>
        </is>
      </c>
      <c r="M68" s="36" t="n">
        <v>2</v>
      </c>
      <c r="N68" s="34">
        <f>IF(OR(H68="No",M68="",UPPER(M68)="NA"),0,1)</f>
        <v/>
      </c>
      <c r="O68" s="37">
        <f>IF(H68="No","Out of scope",IF(UPPER(M68)="NA","Not applicable",IF(M68="","Not assessed",IF(M68&gt;=4,"Compliant",IF(M68&gt;=3,"Substantially compliant",IF(M68&gt;=2,"Partially compliant","Non-compliant"))))))</f>
        <v/>
      </c>
      <c r="P68" s="34">
        <f>IF(N68=0,"",F68*(4-M68))</f>
        <v/>
      </c>
      <c r="Q68" s="37">
        <f>IF(P68="","",IF(P68&gt;=12,"Critical",IF(P68&gt;=8,"High",IF(P68&gt;=4,"Medium",IF(P68&gt;=1,"Low","None")))))</f>
        <v/>
      </c>
      <c r="R68" s="34">
        <f>IF(AND(N68=1,M68&lt;3),1,0)</f>
        <v/>
      </c>
      <c r="S68" s="34">
        <f>IF(N68=0,"",M68*G68)</f>
        <v/>
      </c>
      <c r="T68" s="34">
        <f>IF(N68=0,"",4*G68)</f>
        <v/>
      </c>
      <c r="U68" s="27" t="inlineStr">
        <is>
          <t>Kavach Junior collects date of birth and is designed for 13-17 year olds, so child users are identified within that product. The main KavachPay application relies on a self-declared 18-plus checkbox with no verification, and analysis of KYC data during this assessment identified 1,847 accounts whose bureau or document date of birth indicates the holder is under 18.</t>
        </is>
      </c>
      <c r="V68" s="27" t="inlineStr">
        <is>
          <t>WP-110</t>
        </is>
      </c>
      <c r="W68" s="27" t="inlineStr">
        <is>
          <t>Rohit Menon, Head of Product</t>
        </is>
      </c>
      <c r="X68" s="27" t="inlineStr"/>
      <c r="Y68" s="33" t="inlineStr">
        <is>
          <t>A child means an individual who has not completed eighteen years of age. Obligations in relation to children attach to the processing of a child's personal data, which presupposes the ability to identify such data.</t>
        </is>
      </c>
      <c r="Z68" s="33" t="inlineStr">
        <is>
          <t>How does the entity determine whether a user is under eighteen? Is the threshold set at eighteen rather than at a lower age imported from another jurisdiction, and is there a response where age is unknown or misstated?</t>
        </is>
      </c>
      <c r="AA68" s="33" t="inlineStr">
        <is>
          <t>Inspect the age determination mechanism and the threshold configured; test the treatment of users of unknown age and the response to indications of misstatement.</t>
        </is>
      </c>
      <c r="AB68" s="33" t="inlineStr">
        <is>
          <t>Age determination mechanism with the threshold set at eighteen · Documented treatment of users whose age is unknown · Procedure for responding to signals that age was misstated</t>
        </is>
      </c>
      <c r="AC68" s="33" t="inlineStr">
        <is>
          <t>Up to INR 200 crore</t>
        </is>
      </c>
      <c r="AD68" s="35" t="n">
        <v>3</v>
      </c>
      <c r="AE68" s="33" t="inlineStr">
        <is>
          <t>The threshold is eighteen, age determination is supported by proportionate signals rather than bare self-declaration, unknown-age users receive a documented default, and misstatement signals trigger review.</t>
        </is>
      </c>
    </row>
    <row r="69" ht="42" customHeight="1">
      <c r="A69" s="33" t="inlineStr">
        <is>
          <t>CHD-02</t>
        </is>
      </c>
      <c r="B69" s="33" t="inlineStr">
        <is>
          <t>CHD</t>
        </is>
      </c>
      <c r="C69" s="33" t="inlineStr">
        <is>
          <t>Children &amp; Persons with Disability</t>
        </is>
      </c>
      <c r="D69" s="33" t="inlineStr">
        <is>
          <t>Verifiable consent of parent or lawful guardian</t>
        </is>
      </c>
      <c r="E69" s="33" t="inlineStr">
        <is>
          <t>Critical</t>
        </is>
      </c>
      <c r="F69" s="34">
        <f>IF(E69="Critical",4,IF(E69="High",3,IF(E69="Medium",2,1)))</f>
        <v/>
      </c>
      <c r="G69" s="35" t="n">
        <v>1.4</v>
      </c>
      <c r="H69" s="33" t="inlineStr">
        <is>
          <t>Yes</t>
        </is>
      </c>
      <c r="I69" s="33" t="inlineStr">
        <is>
          <t>in scope</t>
        </is>
      </c>
      <c r="J69" s="33" t="inlineStr">
        <is>
          <t>s.9(1), DPDP Act, 2023</t>
        </is>
      </c>
      <c r="K69" s="33" t="inlineStr">
        <is>
          <t>[Rules citation to be verified]</t>
        </is>
      </c>
      <c r="L69" s="33" t="inlineStr">
        <is>
          <t>VERIFY_AGAINST_NOTIFIED_RULES</t>
        </is>
      </c>
      <c r="M69" s="36" t="n">
        <v>2</v>
      </c>
      <c r="N69" s="34">
        <f>IF(OR(H69="No",M69="",UPPER(M69)="NA"),0,1)</f>
        <v/>
      </c>
      <c r="O69" s="37">
        <f>IF(H69="No","Out of scope",IF(UPPER(M69)="NA","Not applicable",IF(M69="","Not assessed",IF(M69&gt;=4,"Compliant",IF(M69&gt;=3,"Substantially compliant",IF(M69&gt;=2,"Partially compliant","Non-compliant"))))))</f>
        <v/>
      </c>
      <c r="P69" s="34">
        <f>IF(N69=0,"",F69*(4-M69))</f>
        <v/>
      </c>
      <c r="Q69" s="37">
        <f>IF(P69="","",IF(P69&gt;=12,"Critical",IF(P69&gt;=8,"High",IF(P69&gt;=4,"Medium",IF(P69&gt;=1,"Low","None")))))</f>
        <v/>
      </c>
      <c r="R69" s="34">
        <f>IF(AND(N69=1,M69&lt;3),1,0)</f>
        <v/>
      </c>
      <c r="S69" s="34">
        <f>IF(N69=0,"",M69*G69)</f>
        <v/>
      </c>
      <c r="T69" s="34">
        <f>IF(N69=0,"",4*G69)</f>
        <v/>
      </c>
      <c r="U69" s="27" t="inlineStr">
        <is>
          <t>The Kavach Junior journey requires the parent to initiate the account from their own authenticated, KYC-verified session, which is a reasonable foundation. The relationship between parent and child is self-declared and unverified, and the consent captured from the parent is the same bundled consent described at CON-01 rather than a consent directed at the child's data.</t>
        </is>
      </c>
      <c r="V69" s="27" t="inlineStr">
        <is>
          <t>WP-111</t>
        </is>
      </c>
      <c r="W69" s="27" t="inlineStr">
        <is>
          <t>Rohit Menon, Head of Product</t>
        </is>
      </c>
      <c r="X69" s="27" t="inlineStr"/>
      <c r="Y69" s="33" t="inlineStr">
        <is>
          <t>Before processing any personal data of a child, or of a person with a disability who has a lawful guardian, the Data Fiduciary must obtain verifiable consent of the parent or of such lawful guardian.</t>
        </is>
      </c>
      <c r="Z69" s="33" t="inlineStr">
        <is>
          <t>Is parental consent verifiable — with due diligence establishing that the consenting adult is identifiable and is in fact the parent or guardian — rather than a tickbox asserting parental status?</t>
        </is>
      </c>
      <c r="AA69" s="33" t="inlineStr">
        <is>
          <t>Re-performance: complete the child onboarding journey and assess what verification is actually performed; inspect the artefacts retained.</t>
        </is>
      </c>
      <c r="AB69" s="33" t="inlineStr">
        <is>
          <t>Verification mechanism establishing the adult's identity and their relationship to the child · Consent artefacts linking parent identity to the specific child record · Records demonstrating processing does not begin before consent is obtained</t>
        </is>
      </c>
      <c r="AC69" s="33" t="inlineStr">
        <is>
          <t>Up to INR 200 crore</t>
        </is>
      </c>
      <c r="AD69" s="35" t="n">
        <v>3</v>
      </c>
      <c r="AE69" s="33" t="inlineStr">
        <is>
          <t>Verification establishes both the adult's identity and the guardian relationship through proportionate means, artefacts link parent to child record, and processing demonstrably does not begin until consent is complete.</t>
        </is>
      </c>
    </row>
    <row r="70" ht="42" customHeight="1">
      <c r="A70" s="33" t="inlineStr">
        <is>
          <t>CHD-03</t>
        </is>
      </c>
      <c r="B70" s="33" t="inlineStr">
        <is>
          <t>CHD</t>
        </is>
      </c>
      <c r="C70" s="33" t="inlineStr">
        <is>
          <t>Children &amp; Persons with Disability</t>
        </is>
      </c>
      <c r="D70" s="33" t="inlineStr">
        <is>
          <t>No tracking, behavioural monitoring or targeted advertising to children</t>
        </is>
      </c>
      <c r="E70" s="33" t="inlineStr">
        <is>
          <t>Critical</t>
        </is>
      </c>
      <c r="F70" s="34">
        <f>IF(E70="Critical",4,IF(E70="High",3,IF(E70="Medium",2,1)))</f>
        <v/>
      </c>
      <c r="G70" s="35" t="n">
        <v>1.4</v>
      </c>
      <c r="H70" s="33" t="inlineStr">
        <is>
          <t>Yes</t>
        </is>
      </c>
      <c r="I70" s="33" t="inlineStr">
        <is>
          <t>in scope</t>
        </is>
      </c>
      <c r="J70" s="33" t="inlineStr">
        <is>
          <t>s.9(3), DPDP Act, 2023</t>
        </is>
      </c>
      <c r="K70" s="33" t="inlineStr">
        <is>
          <t>[Rules citation to be verified]</t>
        </is>
      </c>
      <c r="L70" s="33" t="inlineStr">
        <is>
          <t>VERIFY_AGAINST_NOTIFIED_RULES</t>
        </is>
      </c>
      <c r="M70" s="36" t="n">
        <v>0</v>
      </c>
      <c r="N70" s="34">
        <f>IF(OR(H70="No",M70="",UPPER(M70)="NA"),0,1)</f>
        <v/>
      </c>
      <c r="O70" s="37">
        <f>IF(H70="No","Out of scope",IF(UPPER(M70)="NA","Not applicable",IF(M70="","Not assessed",IF(M70&gt;=4,"Compliant",IF(M70&gt;=3,"Substantially compliant",IF(M70&gt;=2,"Partially compliant","Non-compliant"))))))</f>
        <v/>
      </c>
      <c r="P70" s="34">
        <f>IF(N70=0,"",F70*(4-M70))</f>
        <v/>
      </c>
      <c r="Q70" s="37">
        <f>IF(P70="","",IF(P70&gt;=12,"Critical",IF(P70&gt;=8,"High",IF(P70&gt;=4,"Medium",IF(P70&gt;=1,"Low","None")))))</f>
        <v/>
      </c>
      <c r="R70" s="34">
        <f>IF(AND(N70=1,M70&lt;3),1,0)</f>
        <v/>
      </c>
      <c r="S70" s="34">
        <f>IF(N70=0,"",M70*G70)</f>
        <v/>
      </c>
      <c r="T70" s="34">
        <f>IF(N70=0,"",4*G70)</f>
        <v/>
      </c>
      <c r="U70" s="27" t="inlineStr">
        <is>
          <t>The advertising and analytics SDKs embedded in the KavachPay application are active in the Kavach Junior experience. Testing confirmed that device identifiers and in-app behavioural events for accounts flagged as minors are transmitted to CleverTap and to the Meta SDK, and that those accounts are eligible for inclusion in lookalike audiences. Children are therefore subject to tracking, behavioural monitoring and targeted advertising. The prohibition is absolute and is not cured by the parental consent obtained, and the conduct engages the third highest penalty entry in the Schedule.</t>
        </is>
      </c>
      <c r="V70" s="27" t="inlineStr">
        <is>
          <t>WP-112</t>
        </is>
      </c>
      <c r="W70" s="27" t="inlineStr">
        <is>
          <t>Rohit Menon, Head of Product</t>
        </is>
      </c>
      <c r="X70" s="27" t="inlineStr"/>
      <c r="Y70" s="33" t="inlineStr">
        <is>
          <t>A Data Fiduciary must not undertake tracking or behavioural monitoring of children, or targeted advertising directed at children.</t>
        </is>
      </c>
      <c r="Z70" s="33" t="inlineStr">
        <is>
          <t>Are tracking, behavioural profiling and targeted advertising technically disabled for users identified as children — including third-party tags, advertising SDKs and analytics that profile behaviour?</t>
        </is>
      </c>
      <c r="AA70" s="33" t="inlineStr">
        <is>
          <t>Re-performance: instrument a child-flagged test account and inspect outbound requests, cookies, SDK activity and advertising identifiers.</t>
        </is>
      </c>
      <c r="AB70" s="33" t="inlineStr">
        <is>
          <t>Technical suppression of tracking, profiling and ad targeting for child accounts · Test evidence from a child-flagged account showing no profiling calls · Contractual and technical controls over advertising and analytics SDKs</t>
        </is>
      </c>
      <c r="AC70" s="33" t="inlineStr">
        <is>
          <t>Up to INR 200 crore</t>
        </is>
      </c>
      <c r="AD70" s="35" t="n">
        <v>3</v>
      </c>
      <c r="AE70" s="33" t="inlineStr">
        <is>
          <t>Tracking, behavioural monitoring and targeted advertising are technically suppressed for child accounts across first and third-party components, verified by instrumented testing.</t>
        </is>
      </c>
    </row>
    <row r="71" ht="42" customHeight="1">
      <c r="A71" s="33" t="inlineStr">
        <is>
          <t>CHD-04</t>
        </is>
      </c>
      <c r="B71" s="33" t="inlineStr">
        <is>
          <t>CHD</t>
        </is>
      </c>
      <c r="C71" s="33" t="inlineStr">
        <is>
          <t>Children &amp; Persons with Disability</t>
        </is>
      </c>
      <c r="D71" s="33" t="inlineStr">
        <is>
          <t>No processing likely to cause detrimental effect on a child's wellbeing</t>
        </is>
      </c>
      <c r="E71" s="33" t="inlineStr">
        <is>
          <t>High</t>
        </is>
      </c>
      <c r="F71" s="34">
        <f>IF(E71="Critical",4,IF(E71="High",3,IF(E71="Medium",2,1)))</f>
        <v/>
      </c>
      <c r="G71" s="35" t="n">
        <v>1.2</v>
      </c>
      <c r="H71" s="33" t="inlineStr">
        <is>
          <t>Yes</t>
        </is>
      </c>
      <c r="I71" s="33" t="inlineStr">
        <is>
          <t>in scope</t>
        </is>
      </c>
      <c r="J71" s="33" t="inlineStr">
        <is>
          <t>s.9(2), DPDP Act, 2023</t>
        </is>
      </c>
      <c r="K71" s="33" t="inlineStr">
        <is>
          <t>—</t>
        </is>
      </c>
      <c r="L71" s="33" t="inlineStr">
        <is>
          <t>—</t>
        </is>
      </c>
      <c r="M71" s="36" t="n">
        <v>2</v>
      </c>
      <c r="N71" s="34">
        <f>IF(OR(H71="No",M71="",UPPER(M71)="NA"),0,1)</f>
        <v/>
      </c>
      <c r="O71" s="37">
        <f>IF(H71="No","Out of scope",IF(UPPER(M71)="NA","Not applicable",IF(M71="","Not assessed",IF(M71&gt;=4,"Compliant",IF(M71&gt;=3,"Substantially compliant",IF(M71&gt;=2,"Partially compliant","Non-compliant"))))))</f>
        <v/>
      </c>
      <c r="P71" s="34">
        <f>IF(N71=0,"",F71*(4-M71))</f>
        <v/>
      </c>
      <c r="Q71" s="37">
        <f>IF(P71="","",IF(P71&gt;=12,"Critical",IF(P71&gt;=8,"High",IF(P71&gt;=4,"Medium",IF(P71&gt;=1,"Low","None")))))</f>
        <v/>
      </c>
      <c r="R71" s="34">
        <f>IF(AND(N71=1,M71&lt;3),1,0)</f>
        <v/>
      </c>
      <c r="S71" s="34">
        <f>IF(N71=0,"",M71*G71)</f>
        <v/>
      </c>
      <c r="T71" s="34">
        <f>IF(N71=0,"",4*G71)</f>
        <v/>
      </c>
      <c r="U71" s="27" t="inlineStr">
        <is>
          <t>No assessment of detrimental effect on children's wellbeing has been performed for Kavach Junior. Features that warrant such an assessment — spending streak rewards, peer comparison of savings, and push notifications timed to school hours — were designed without privacy or wellbeing review, consistent with the gate failure at PUR-05.</t>
        </is>
      </c>
      <c r="V71" s="27" t="inlineStr">
        <is>
          <t>WP-113</t>
        </is>
      </c>
      <c r="W71" s="27" t="inlineStr">
        <is>
          <t>Rohit Menon, Head of Product</t>
        </is>
      </c>
      <c r="X71" s="27" t="inlineStr"/>
      <c r="Y71" s="33" t="inlineStr">
        <is>
          <t>A Data Fiduciary must not undertake processing of personal data that is likely to cause any detrimental effect on the wellbeing of a child.</t>
        </is>
      </c>
      <c r="Z71" s="33" t="inlineStr">
        <is>
          <t>Has the entity assessed whether any processing affecting children is likely to have a detrimental effect on their wellbeing — including engagement optimisation, recommendation systems and features designed to extend session time?</t>
        </is>
      </c>
      <c r="AA71" s="33" t="inlineStr">
        <is>
          <t>Inspect wellbeing impact assessments for child-affecting features; test whether engagement-optimising mechanics were assessed and, where necessary, modified.</t>
        </is>
      </c>
      <c r="AB71" s="33" t="inlineStr">
        <is>
          <t>Wellbeing impact assessment covering features and algorithms affecting children · Assessment of engagement mechanics, recommendation systems and notification design · Evidence of features modified or withheld on wellbeing grounds</t>
        </is>
      </c>
      <c r="AC71" s="33" t="inlineStr">
        <is>
          <t>Up to INR 200 crore</t>
        </is>
      </c>
      <c r="AD71" s="35" t="n">
        <v>3</v>
      </c>
      <c r="AE71" s="33" t="inlineStr">
        <is>
          <t>Documented wellbeing assessments cover features and algorithms affecting children, are reviewed on change, and there is evidence of design changes made on wellbeing grounds.</t>
        </is>
      </c>
    </row>
    <row r="72" ht="42" customHeight="1">
      <c r="A72" s="33" t="inlineStr">
        <is>
          <t>CHD-05</t>
        </is>
      </c>
      <c r="B72" s="33" t="inlineStr">
        <is>
          <t>CHD</t>
        </is>
      </c>
      <c r="C72" s="33" t="inlineStr">
        <is>
          <t>Children &amp; Persons with Disability</t>
        </is>
      </c>
      <c r="D72" s="33" t="inlineStr">
        <is>
          <t>Persons with disability having a lawful guardian</t>
        </is>
      </c>
      <c r="E72" s="33" t="inlineStr">
        <is>
          <t>High</t>
        </is>
      </c>
      <c r="F72" s="34">
        <f>IF(E72="Critical",4,IF(E72="High",3,IF(E72="Medium",2,1)))</f>
        <v/>
      </c>
      <c r="G72" s="35" t="n">
        <v>1.1</v>
      </c>
      <c r="H72" s="33" t="inlineStr">
        <is>
          <t>Yes</t>
        </is>
      </c>
      <c r="I72" s="33" t="inlineStr">
        <is>
          <t>in scope</t>
        </is>
      </c>
      <c r="J72" s="33" t="inlineStr">
        <is>
          <t>s.9(1), DPDP Act, 2023</t>
        </is>
      </c>
      <c r="K72" s="33" t="inlineStr">
        <is>
          <t>[Rules citation to be verified]</t>
        </is>
      </c>
      <c r="L72" s="33" t="inlineStr">
        <is>
          <t>VERIFY_AGAINST_NOTIFIED_RULES</t>
        </is>
      </c>
      <c r="M72" s="36" t="n">
        <v>1</v>
      </c>
      <c r="N72" s="34">
        <f>IF(OR(H72="No",M72="",UPPER(M72)="NA"),0,1)</f>
        <v/>
      </c>
      <c r="O72" s="37">
        <f>IF(H72="No","Out of scope",IF(UPPER(M72)="NA","Not applicable",IF(M72="","Not assessed",IF(M72&gt;=4,"Compliant",IF(M72&gt;=3,"Substantially compliant",IF(M72&gt;=2,"Partially compliant","Non-compliant"))))))</f>
        <v/>
      </c>
      <c r="P72" s="34">
        <f>IF(N72=0,"",F72*(4-M72))</f>
        <v/>
      </c>
      <c r="Q72" s="37">
        <f>IF(P72="","",IF(P72&gt;=12,"Critical",IF(P72&gt;=8,"High",IF(P72&gt;=4,"Medium",IF(P72&gt;=1,"Low","None")))))</f>
        <v/>
      </c>
      <c r="R72" s="34">
        <f>IF(AND(N72=1,M72&lt;3),1,0)</f>
        <v/>
      </c>
      <c r="S72" s="34">
        <f>IF(N72=0,"",M72*G72)</f>
        <v/>
      </c>
      <c r="T72" s="34">
        <f>IF(N72=0,"",4*G72)</f>
        <v/>
      </c>
      <c r="U72" s="27" t="inlineStr">
        <is>
          <t>Persons with disability having a lawful guardian are not identified and there is no mechanism for a guardian to act on their behalf. Support agents described handling such cases informally by accepting instructions from family members, which is both an unaddressed obligation and an impersonation risk.</t>
        </is>
      </c>
      <c r="V72" s="27" t="inlineStr">
        <is>
          <t>WP-114</t>
        </is>
      </c>
      <c r="W72" s="27" t="inlineStr">
        <is>
          <t>Anita Desai, Head of Customer Experience</t>
        </is>
      </c>
      <c r="X72" s="27" t="inlineStr"/>
      <c r="Y72" s="33" t="inlineStr">
        <is>
          <t>The requirement of verifiable consent extends to the personal data of a person with a disability who has a lawful guardian, with consent to be obtained from that guardian.</t>
        </is>
      </c>
      <c r="Z72" s="33" t="inlineStr">
        <is>
          <t>Is there a mechanism for guardian consent where a Data Principal has a lawful guardian, including verification of the guardianship and a route for a guardian to identify themselves and act?</t>
        </is>
      </c>
      <c r="AA72" s="33" t="inlineStr">
        <is>
          <t>Inspect the guardian consent mechanism and verification approach; test the route by which a guardian can come forward.</t>
        </is>
      </c>
      <c r="AB72" s="33" t="inlineStr">
        <is>
          <t>Guardian consent capture and verification mechanism · Published route for a guardian to identify themselves and exercise rights · Records linking guardian to the Data Principal</t>
        </is>
      </c>
      <c r="AC72" s="33" t="inlineStr">
        <is>
          <t>Up to INR 200 crore</t>
        </is>
      </c>
      <c r="AD72" s="35" t="n">
        <v>3</v>
      </c>
      <c r="AE72" s="33" t="inlineStr">
        <is>
          <t>A defined mechanism captures and verifies guardianship, a published route lets guardians come forward, and records link guardian to Data Principal and support rights exercise.</t>
        </is>
      </c>
    </row>
    <row r="73" ht="42" customHeight="1">
      <c r="A73" s="33" t="inlineStr">
        <is>
          <t>PRO-01</t>
        </is>
      </c>
      <c r="B73" s="33" t="inlineStr">
        <is>
          <t>PRO</t>
        </is>
      </c>
      <c r="C73" s="33" t="inlineStr">
        <is>
          <t>Processors &amp; Vendor Contracts</t>
        </is>
      </c>
      <c r="D73" s="33" t="inlineStr">
        <is>
          <t>Complete inventory of Data Processors and onward recipients</t>
        </is>
      </c>
      <c r="E73" s="33" t="inlineStr">
        <is>
          <t>Critical</t>
        </is>
      </c>
      <c r="F73" s="34">
        <f>IF(E73="Critical",4,IF(E73="High",3,IF(E73="Medium",2,1)))</f>
        <v/>
      </c>
      <c r="G73" s="35" t="n">
        <v>1.3</v>
      </c>
      <c r="H73" s="33" t="inlineStr">
        <is>
          <t>Yes</t>
        </is>
      </c>
      <c r="I73" s="33" t="inlineStr">
        <is>
          <t>in scope</t>
        </is>
      </c>
      <c r="J73" s="33" t="inlineStr">
        <is>
          <t>s.8(1), s.11(1)(b), DPDP Act, 2023</t>
        </is>
      </c>
      <c r="K73" s="33" t="inlineStr">
        <is>
          <t>—</t>
        </is>
      </c>
      <c r="L73" s="33" t="inlineStr">
        <is>
          <t>—</t>
        </is>
      </c>
      <c r="M73" s="36" t="n">
        <v>3</v>
      </c>
      <c r="N73" s="34">
        <f>IF(OR(H73="No",M73="",UPPER(M73)="NA"),0,1)</f>
        <v/>
      </c>
      <c r="O73" s="37">
        <f>IF(H73="No","Out of scope",IF(UPPER(M73)="NA","Not applicable",IF(M73="","Not assessed",IF(M73&gt;=4,"Compliant",IF(M73&gt;=3,"Substantially compliant",IF(M73&gt;=2,"Partially compliant","Non-compliant"))))))</f>
        <v/>
      </c>
      <c r="P73" s="34">
        <f>IF(N73=0,"",F73*(4-M73))</f>
        <v/>
      </c>
      <c r="Q73" s="37">
        <f>IF(P73="","",IF(P73&gt;=12,"Critical",IF(P73&gt;=8,"High",IF(P73&gt;=4,"Medium",IF(P73&gt;=1,"Low","None")))))</f>
        <v/>
      </c>
      <c r="R73" s="34">
        <f>IF(AND(N73=1,M73&lt;3),1,0)</f>
        <v/>
      </c>
      <c r="S73" s="34">
        <f>IF(N73=0,"",M73*G73)</f>
        <v/>
      </c>
      <c r="T73" s="34">
        <f>IF(N73=0,"",4*G73)</f>
        <v/>
      </c>
      <c r="U73" s="27" t="inlineStr">
        <is>
          <t>A vendor register lists 96 third parties with 34 flagged as processing personal data. Onward recipients engaged by those processors are not recorded, and four processors identified through expenditure analysis during this assessment were absent from the register, including the third-party data broker noted at PUR-01.</t>
        </is>
      </c>
      <c r="V73" s="27" t="inlineStr">
        <is>
          <t>WP-120</t>
        </is>
      </c>
      <c r="W73" s="27" t="inlineStr">
        <is>
          <t>Farhan Qureshi, Head of Vendor Management</t>
        </is>
      </c>
      <c r="X73" s="27" t="inlineStr"/>
      <c r="Y73" s="33" t="inlineStr">
        <is>
          <t>A Data Fiduciary remains responsible for compliance in respect of processing undertaken on its behalf by a Data Processor, and must be able to disclose to a Data Principal the identities of all Data Fiduciaries and Data Processors with whom personal data has been shared.</t>
        </is>
      </c>
      <c r="Z73" s="33" t="inlineStr">
        <is>
          <t>Is there a complete inventory of processors and other recipients, including sub-processors, marketing and analytics platforms, and tools procured outside formal procurement on a corporate card?</t>
        </is>
      </c>
      <c r="AA73" s="33" t="inlineStr">
        <is>
          <t>Inspect the inventory; test completeness against accounts payable, expense data and outbound network or SaaS discovery.</t>
        </is>
      </c>
      <c r="AB73" s="33" t="inlineStr">
        <is>
          <t>Processor and recipient inventory recording data shared and purpose · Sub-processor visibility for each principal processor · Reconciliation against payables or SaaS discovery to find unmanaged tools</t>
        </is>
      </c>
      <c r="AC73" s="33" t="inlineStr">
        <is>
          <t>Up to INR 50 crore</t>
        </is>
      </c>
      <c r="AD73" s="35" t="n">
        <v>7</v>
      </c>
      <c r="AE73" s="33" t="inlineStr">
        <is>
          <t>A complete inventory, reconciled against payables or discovery tooling, records data shared and purpose for every recipient and maintains sub-processor visibility.</t>
        </is>
      </c>
    </row>
    <row r="74" ht="42" customHeight="1">
      <c r="A74" s="33" t="inlineStr">
        <is>
          <t>PRO-02</t>
        </is>
      </c>
      <c r="B74" s="33" t="inlineStr">
        <is>
          <t>PRO</t>
        </is>
      </c>
      <c r="C74" s="33" t="inlineStr">
        <is>
          <t>Processors &amp; Vendor Contracts</t>
        </is>
      </c>
      <c r="D74" s="33" t="inlineStr">
        <is>
          <t>Valid contract in place with every Data Processor</t>
        </is>
      </c>
      <c r="E74" s="33" t="inlineStr">
        <is>
          <t>Critical</t>
        </is>
      </c>
      <c r="F74" s="34">
        <f>IF(E74="Critical",4,IF(E74="High",3,IF(E74="Medium",2,1)))</f>
        <v/>
      </c>
      <c r="G74" s="35" t="n">
        <v>1.4</v>
      </c>
      <c r="H74" s="33" t="inlineStr">
        <is>
          <t>Yes</t>
        </is>
      </c>
      <c r="I74" s="33" t="inlineStr">
        <is>
          <t>in scope</t>
        </is>
      </c>
      <c r="J74" s="33" t="inlineStr">
        <is>
          <t>s.8(2), DPDP Act, 2023</t>
        </is>
      </c>
      <c r="K74" s="33" t="inlineStr">
        <is>
          <t>—</t>
        </is>
      </c>
      <c r="L74" s="33" t="inlineStr">
        <is>
          <t>—</t>
        </is>
      </c>
      <c r="M74" s="36" t="n">
        <v>2</v>
      </c>
      <c r="N74" s="34">
        <f>IF(OR(H74="No",M74="",UPPER(M74)="NA"),0,1)</f>
        <v/>
      </c>
      <c r="O74" s="37">
        <f>IF(H74="No","Out of scope",IF(UPPER(M74)="NA","Not applicable",IF(M74="","Not assessed",IF(M74&gt;=4,"Compliant",IF(M74&gt;=3,"Substantially compliant",IF(M74&gt;=2,"Partially compliant","Non-compliant"))))))</f>
        <v/>
      </c>
      <c r="P74" s="34">
        <f>IF(N74=0,"",F74*(4-M74))</f>
        <v/>
      </c>
      <c r="Q74" s="37">
        <f>IF(P74="","",IF(P74&gt;=12,"Critical",IF(P74&gt;=8,"High",IF(P74&gt;=4,"Medium",IF(P74&gt;=1,"Low","None")))))</f>
        <v/>
      </c>
      <c r="R74" s="34">
        <f>IF(AND(N74=1,M74&lt;3),1,0)</f>
        <v/>
      </c>
      <c r="S74" s="34">
        <f>IF(N74=0,"",M74*G74)</f>
        <v/>
      </c>
      <c r="T74" s="34">
        <f>IF(N74=0,"",4*G74)</f>
        <v/>
      </c>
      <c r="U74" s="27" t="inlineStr">
        <is>
          <t>Of 34 processors, 26 have an executed agreement containing data protection terms. Eight are engaged on click-through terms or purchase orders alone, including two with access to full customer records. The Act requires a valid contract for engagement of a processor and does not admit a de facto arrangement.</t>
        </is>
      </c>
      <c r="V74" s="27" t="inlineStr">
        <is>
          <t>WP-121</t>
        </is>
      </c>
      <c r="W74" s="27" t="inlineStr">
        <is>
          <t>Farhan Qureshi, Head of Vendor Management</t>
        </is>
      </c>
      <c r="X74" s="27" t="inlineStr"/>
      <c r="Y74" s="33" t="inlineStr">
        <is>
          <t>A Data Fiduciary may engage, appoint, use or otherwise involve a Data Processor to process personal data on its behalf only under a valid contract.</t>
        </is>
      </c>
      <c r="Z74" s="33" t="inlineStr">
        <is>
          <t>Does every processor have a current, executed contract covering personal data processing — and are there processors operating on expired agreements, purchase orders alone, or click-through terms never reviewed?</t>
        </is>
      </c>
      <c r="AA74" s="33" t="inlineStr">
        <is>
          <t>Inspect contracts for a sample of processors from the inventory; test currency of execution and completeness of data protection terms.</t>
        </is>
      </c>
      <c r="AB74" s="33" t="inlineStr">
        <is>
          <t>Executed contracts for every processor in the inventory · Data protection terms addressing purpose limitation, safeguards, erasure, breach and sub-processing · Contract currency tracking with renewal alerts</t>
        </is>
      </c>
      <c r="AC74" s="33" t="inlineStr">
        <is>
          <t>Up to INR 50 crore</t>
        </is>
      </c>
      <c r="AD74" s="35" t="n">
        <v>7</v>
      </c>
      <c r="AE74" s="33" t="inlineStr">
        <is>
          <t>Every processor in the inventory has a current executed contract with complete data protection terms, tracked for currency with renewal alerts, and exceptions are escalated.</t>
        </is>
      </c>
    </row>
    <row r="75" ht="42" customHeight="1">
      <c r="A75" s="33" t="inlineStr">
        <is>
          <t>PRO-03</t>
        </is>
      </c>
      <c r="B75" s="33" t="inlineStr">
        <is>
          <t>PRO</t>
        </is>
      </c>
      <c r="C75" s="33" t="inlineStr">
        <is>
          <t>Processors &amp; Vendor Contracts</t>
        </is>
      </c>
      <c r="D75" s="33" t="inlineStr">
        <is>
          <t>Safeguards, erasure and breach obligations flowed down</t>
        </is>
      </c>
      <c r="E75" s="33" t="inlineStr">
        <is>
          <t>Critical</t>
        </is>
      </c>
      <c r="F75" s="34">
        <f>IF(E75="Critical",4,IF(E75="High",3,IF(E75="Medium",2,1)))</f>
        <v/>
      </c>
      <c r="G75" s="35" t="n">
        <v>1.3</v>
      </c>
      <c r="H75" s="33" t="inlineStr">
        <is>
          <t>Yes</t>
        </is>
      </c>
      <c r="I75" s="33" t="inlineStr">
        <is>
          <t>in scope</t>
        </is>
      </c>
      <c r="J75" s="33" t="inlineStr">
        <is>
          <t>s.8(1), s.8(5), s.8(7), DPDP Act, 2023</t>
        </is>
      </c>
      <c r="K75" s="33" t="inlineStr">
        <is>
          <t>[Rules citation to be verified]</t>
        </is>
      </c>
      <c r="L75" s="33" t="inlineStr">
        <is>
          <t>VERIFY_AGAINST_NOTIFIED_RULES</t>
        </is>
      </c>
      <c r="M75" s="36" t="n">
        <v>2</v>
      </c>
      <c r="N75" s="34">
        <f>IF(OR(H75="No",M75="",UPPER(M75)="NA"),0,1)</f>
        <v/>
      </c>
      <c r="O75" s="37">
        <f>IF(H75="No","Out of scope",IF(UPPER(M75)="NA","Not applicable",IF(M75="","Not assessed",IF(M75&gt;=4,"Compliant",IF(M75&gt;=3,"Substantially compliant",IF(M75&gt;=2,"Partially compliant","Non-compliant"))))))</f>
        <v/>
      </c>
      <c r="P75" s="34">
        <f>IF(N75=0,"",F75*(4-M75))</f>
        <v/>
      </c>
      <c r="Q75" s="37">
        <f>IF(P75="","",IF(P75&gt;=12,"Critical",IF(P75&gt;=8,"High",IF(P75&gt;=4,"Medium",IF(P75&gt;=1,"Low","None")))))</f>
        <v/>
      </c>
      <c r="R75" s="34">
        <f>IF(AND(N75=1,M75&lt;3),1,0)</f>
        <v/>
      </c>
      <c r="S75" s="34">
        <f>IF(N75=0,"",M75*G75)</f>
        <v/>
      </c>
      <c r="T75" s="34">
        <f>IF(N75=0,"",4*G75)</f>
        <v/>
      </c>
      <c r="U75" s="27" t="inlineStr">
        <is>
          <t>Where agreements exist, security obligations are generally flowed down. Erasure on instruction is absent from 21 of 26 agreements and breach notification to the entity within a defined period is absent from 14. The entity therefore cannot discharge its own erasure and intimation obligations through its processors, which is the practical consequence identified at RET-03 and BRC-03.</t>
        </is>
      </c>
      <c r="V75" s="27" t="inlineStr">
        <is>
          <t>WP-122</t>
        </is>
      </c>
      <c r="W75" s="27" t="inlineStr">
        <is>
          <t>Farhan Qureshi, Head of Vendor Management</t>
        </is>
      </c>
      <c r="X75" s="27" t="inlineStr"/>
      <c r="Y75" s="33" t="inlineStr">
        <is>
          <t>The Data Fiduciary's duties to protect personal data and to cause erasure extend to data held by processors, which requires those duties to be reflected in the contract and given effect operationally.</t>
        </is>
      </c>
      <c r="Z75" s="33" t="inlineStr">
        <is>
          <t>Do processor contracts require security safeguards at least equivalent to the entity's own, prompt breach notification within a window that allows the entity to meet its own deadline, and erasure on instruction and at termination?</t>
        </is>
      </c>
      <c r="AA75" s="33" t="inlineStr">
        <is>
          <t>Inspect contract clauses for each requirement; test whether the processor breach notification window is shorter than the entity's own obligation.</t>
        </is>
      </c>
      <c r="AB75" s="33" t="inlineStr">
        <is>
          <t>Clauses mandating equivalent safeguards, audit or assurance rights · Breach notification window shorter than the entity's own notification deadline · Erasure and return obligations on instruction and at termination</t>
        </is>
      </c>
      <c r="AC75" s="33" t="inlineStr">
        <is>
          <t>Up to INR 250 crore</t>
        </is>
      </c>
      <c r="AD75" s="35" t="n">
        <v>1</v>
      </c>
      <c r="AE75" s="33" t="inlineStr">
        <is>
          <t>Contracts mandate equivalent safeguards with assurance rights, require notification within a window that leaves the entity time to notify, and impose erasure on instruction and at termination.</t>
        </is>
      </c>
    </row>
    <row r="76" ht="42" customHeight="1">
      <c r="A76" s="33" t="inlineStr">
        <is>
          <t>PRO-04</t>
        </is>
      </c>
      <c r="B76" s="33" t="inlineStr">
        <is>
          <t>PRO</t>
        </is>
      </c>
      <c r="C76" s="33" t="inlineStr">
        <is>
          <t>Processors &amp; Vendor Contracts</t>
        </is>
      </c>
      <c r="D76" s="33" t="inlineStr">
        <is>
          <t>Sub-processor control and authorisation</t>
        </is>
      </c>
      <c r="E76" s="33" t="inlineStr">
        <is>
          <t>High</t>
        </is>
      </c>
      <c r="F76" s="34">
        <f>IF(E76="Critical",4,IF(E76="High",3,IF(E76="Medium",2,1)))</f>
        <v/>
      </c>
      <c r="G76" s="35" t="n">
        <v>1.1</v>
      </c>
      <c r="H76" s="33" t="inlineStr">
        <is>
          <t>Yes</t>
        </is>
      </c>
      <c r="I76" s="33" t="inlineStr">
        <is>
          <t>in scope</t>
        </is>
      </c>
      <c r="J76" s="33" t="inlineStr">
        <is>
          <t>s.8(1), s.8(2), DPDP Act, 2023</t>
        </is>
      </c>
      <c r="K76" s="33" t="inlineStr">
        <is>
          <t>—</t>
        </is>
      </c>
      <c r="L76" s="33" t="inlineStr">
        <is>
          <t>—</t>
        </is>
      </c>
      <c r="M76" s="36" t="n">
        <v>2</v>
      </c>
      <c r="N76" s="34">
        <f>IF(OR(H76="No",M76="",UPPER(M76)="NA"),0,1)</f>
        <v/>
      </c>
      <c r="O76" s="37">
        <f>IF(H76="No","Out of scope",IF(UPPER(M76)="NA","Not applicable",IF(M76="","Not assessed",IF(M76&gt;=4,"Compliant",IF(M76&gt;=3,"Substantially compliant",IF(M76&gt;=2,"Partially compliant","Non-compliant"))))))</f>
        <v/>
      </c>
      <c r="P76" s="34">
        <f>IF(N76=0,"",F76*(4-M76))</f>
        <v/>
      </c>
      <c r="Q76" s="37">
        <f>IF(P76="","",IF(P76&gt;=12,"Critical",IF(P76&gt;=8,"High",IF(P76&gt;=4,"Medium",IF(P76&gt;=1,"Low","None")))))</f>
        <v/>
      </c>
      <c r="R76" s="34">
        <f>IF(AND(N76=1,M76&lt;3),1,0)</f>
        <v/>
      </c>
      <c r="S76" s="34">
        <f>IF(N76=0,"",M76*G76)</f>
        <v/>
      </c>
      <c r="T76" s="34">
        <f>IF(N76=0,"",4*G76)</f>
        <v/>
      </c>
      <c r="U76" s="27" t="inlineStr">
        <is>
          <t>Sub-processor authorisation is required in the standard template but the template was adopted in 2024 and older agreements are silent. No processor has notified a sub-processor change in the period, which given the vendors involved is more likely to indicate the clause is not operating than that no changes occurred.</t>
        </is>
      </c>
      <c r="V76" s="27" t="inlineStr">
        <is>
          <t>WP-123</t>
        </is>
      </c>
      <c r="W76" s="27" t="inlineStr">
        <is>
          <t>Farhan Qureshi, Head of Vendor Management</t>
        </is>
      </c>
      <c r="X76" s="27" t="inlineStr"/>
      <c r="Y76" s="33" t="inlineStr">
        <is>
          <t>Because responsibility under section 8(1) is not displaced by sub-contracting, onward engagement by a processor must be controlled and the same obligations must flow down the chain.</t>
        </is>
      </c>
      <c r="Z76" s="33" t="inlineStr">
        <is>
          <t>Do contracts require authorisation or notification before a sub-processor is engaged, require equivalent flow-down, and does the entity maintain visibility of the current sub-processor list?</t>
        </is>
      </c>
      <c r="AA76" s="33" t="inlineStr">
        <is>
          <t>Inspect sub-processing clauses; test current sub-processor lists for a sample of processors against what the entity holds.</t>
        </is>
      </c>
      <c r="AB76" s="33" t="inlineStr">
        <is>
          <t>Sub-processing authorisation or objection rights in contracts · Flow-down obligation to sub-processors · Current sub-processor lists obtained and reviewed</t>
        </is>
      </c>
      <c r="AC76" s="33" t="inlineStr">
        <is>
          <t>Up to INR 50 crore</t>
        </is>
      </c>
      <c r="AD76" s="35" t="n">
        <v>7</v>
      </c>
      <c r="AE76" s="33" t="inlineStr">
        <is>
          <t>Authorisation or objection rights are contractual, flow-down is required, current sub-processor lists are obtained and reviewed, and changes are assessed.</t>
        </is>
      </c>
    </row>
    <row r="77" ht="42" customHeight="1">
      <c r="A77" s="33" t="inlineStr">
        <is>
          <t>PRO-05</t>
        </is>
      </c>
      <c r="B77" s="33" t="inlineStr">
        <is>
          <t>PRO</t>
        </is>
      </c>
      <c r="C77" s="33" t="inlineStr">
        <is>
          <t>Processors &amp; Vendor Contracts</t>
        </is>
      </c>
      <c r="D77" s="33" t="inlineStr">
        <is>
          <t>Processor assurance and monitoring</t>
        </is>
      </c>
      <c r="E77" s="33" t="inlineStr">
        <is>
          <t>High</t>
        </is>
      </c>
      <c r="F77" s="34">
        <f>IF(E77="Critical",4,IF(E77="High",3,IF(E77="Medium",2,1)))</f>
        <v/>
      </c>
      <c r="G77" s="35" t="n">
        <v>1.1</v>
      </c>
      <c r="H77" s="33" t="inlineStr">
        <is>
          <t>Yes</t>
        </is>
      </c>
      <c r="I77" s="33" t="inlineStr">
        <is>
          <t>in scope</t>
        </is>
      </c>
      <c r="J77" s="33" t="inlineStr">
        <is>
          <t>s.8(1), s.8(5), DPDP Act, 2023</t>
        </is>
      </c>
      <c r="K77" s="33" t="inlineStr">
        <is>
          <t>—</t>
        </is>
      </c>
      <c r="L77" s="33" t="inlineStr">
        <is>
          <t>—</t>
        </is>
      </c>
      <c r="M77" s="36" t="n">
        <v>3</v>
      </c>
      <c r="N77" s="34">
        <f>IF(OR(H77="No",M77="",UPPER(M77)="NA"),0,1)</f>
        <v/>
      </c>
      <c r="O77" s="37">
        <f>IF(H77="No","Out of scope",IF(UPPER(M77)="NA","Not applicable",IF(M77="","Not assessed",IF(M77&gt;=4,"Compliant",IF(M77&gt;=3,"Substantially compliant",IF(M77&gt;=2,"Partially compliant","Non-compliant"))))))</f>
        <v/>
      </c>
      <c r="P77" s="34">
        <f>IF(N77=0,"",F77*(4-M77))</f>
        <v/>
      </c>
      <c r="Q77" s="37">
        <f>IF(P77="","",IF(P77&gt;=12,"Critical",IF(P77&gt;=8,"High",IF(P77&gt;=4,"Medium",IF(P77&gt;=1,"Low","None")))))</f>
        <v/>
      </c>
      <c r="R77" s="34">
        <f>IF(AND(N77=1,M77&lt;3),1,0)</f>
        <v/>
      </c>
      <c r="S77" s="34">
        <f>IF(N77=0,"",M77*G77)</f>
        <v/>
      </c>
      <c r="T77" s="34">
        <f>IF(N77=0,"",4*G77)</f>
        <v/>
      </c>
      <c r="U77" s="27" t="inlineStr">
        <is>
          <t>Annual assurance is obtained for the 12 processors classified as critical, through SOC 2 reports or completed questionnaires, and exceptions are tracked. The remaining 22 receive no periodic assurance and the classification driving that split is based on spend rather than on the personal data accessed.</t>
        </is>
      </c>
      <c r="V77" s="27" t="inlineStr">
        <is>
          <t>WP-124</t>
        </is>
      </c>
      <c r="W77" s="27" t="inlineStr">
        <is>
          <t>Farhan Qureshi, Head of Vendor Management</t>
        </is>
      </c>
      <c r="X77" s="27" t="inlineStr"/>
      <c r="Y77" s="33" t="inlineStr">
        <is>
          <t>Retaining responsibility for a processor's processing implies an obligation to satisfy oneself, on a continuing basis, that the processor is in fact meeting the required standard.</t>
        </is>
      </c>
      <c r="Z77" s="33" t="inlineStr">
        <is>
          <t>Is processor compliance verified through due diligence at onboarding and periodic assurance thereafter — proportionate to risk — or does verification end at contract signature?</t>
        </is>
      </c>
      <c r="AA77" s="33" t="inlineStr">
        <is>
          <t>Inspect due diligence and periodic assurance records for high-risk processors; test whether identified deficiencies were pursued.</t>
        </is>
      </c>
      <c r="AB77" s="33" t="inlineStr">
        <is>
          <t>Risk-tiered due diligence at onboarding · Periodic assurance: certifications reviewed, questionnaires, audits or site visits · Evidence of deficiencies identified and pursued to resolution</t>
        </is>
      </c>
      <c r="AC77" s="33" t="inlineStr">
        <is>
          <t>Up to INR 50 crore</t>
        </is>
      </c>
      <c r="AD77" s="35" t="n">
        <v>7</v>
      </c>
      <c r="AE77" s="33" t="inlineStr">
        <is>
          <t>Risk-tiered due diligence at onboarding is followed by periodic assurance, certification scope is checked against services used, and deficiencies are pursued to resolution.</t>
        </is>
      </c>
    </row>
    <row r="78" ht="42" customHeight="1">
      <c r="A78" s="33" t="inlineStr">
        <is>
          <t>PRO-06</t>
        </is>
      </c>
      <c r="B78" s="33" t="inlineStr">
        <is>
          <t>PRO</t>
        </is>
      </c>
      <c r="C78" s="33" t="inlineStr">
        <is>
          <t>Processors &amp; Vendor Contracts</t>
        </is>
      </c>
      <c r="D78" s="33" t="inlineStr">
        <is>
          <t>Exit, transition and return or erasure on termination</t>
        </is>
      </c>
      <c r="E78" s="33" t="inlineStr">
        <is>
          <t>High</t>
        </is>
      </c>
      <c r="F78" s="34">
        <f>IF(E78="Critical",4,IF(E78="High",3,IF(E78="Medium",2,1)))</f>
        <v/>
      </c>
      <c r="G78" s="35" t="n">
        <v>1.1</v>
      </c>
      <c r="H78" s="33" t="inlineStr">
        <is>
          <t>Yes</t>
        </is>
      </c>
      <c r="I78" s="33" t="inlineStr">
        <is>
          <t>in scope</t>
        </is>
      </c>
      <c r="J78" s="33" t="inlineStr">
        <is>
          <t>s.8(7), DPDP Act, 2023</t>
        </is>
      </c>
      <c r="K78" s="33" t="inlineStr">
        <is>
          <t>—</t>
        </is>
      </c>
      <c r="L78" s="33" t="inlineStr">
        <is>
          <t>—</t>
        </is>
      </c>
      <c r="M78" s="36" t="n">
        <v>2</v>
      </c>
      <c r="N78" s="34">
        <f>IF(OR(H78="No",M78="",UPPER(M78)="NA"),0,1)</f>
        <v/>
      </c>
      <c r="O78" s="37">
        <f>IF(H78="No","Out of scope",IF(UPPER(M78)="NA","Not applicable",IF(M78="","Not assessed",IF(M78&gt;=4,"Compliant",IF(M78&gt;=3,"Substantially compliant",IF(M78&gt;=2,"Partially compliant","Non-compliant"))))))</f>
        <v/>
      </c>
      <c r="P78" s="34">
        <f>IF(N78=0,"",F78*(4-M78))</f>
        <v/>
      </c>
      <c r="Q78" s="37">
        <f>IF(P78="","",IF(P78&gt;=12,"Critical",IF(P78&gt;=8,"High",IF(P78&gt;=4,"Medium",IF(P78&gt;=1,"Low","None")))))</f>
        <v/>
      </c>
      <c r="R78" s="34">
        <f>IF(AND(N78=1,M78&lt;3),1,0)</f>
        <v/>
      </c>
      <c r="S78" s="34">
        <f>IF(N78=0,"",M78*G78)</f>
        <v/>
      </c>
      <c r="T78" s="34">
        <f>IF(N78=0,"",4*G78)</f>
        <v/>
      </c>
      <c r="U78" s="27" t="inlineStr">
        <is>
          <t>Exit provisions requiring return or erasure appear in 15 of 26 agreements. Two processors were disengaged in the period and neither provided a certificate of erasure; in one case the entity's own records show data remained accessible in the vendor's environment three months after termination.</t>
        </is>
      </c>
      <c r="V78" s="27" t="inlineStr">
        <is>
          <t>WP-125</t>
        </is>
      </c>
      <c r="W78" s="27" t="inlineStr">
        <is>
          <t>Farhan Qureshi, Head of Vendor Management</t>
        </is>
      </c>
      <c r="X78" s="27" t="inlineStr"/>
      <c r="Y78" s="33" t="inlineStr">
        <is>
          <t>The erasure duty extends to data made available to processors, which makes the treatment of data at the end of the relationship a compliance matter rather than a commercial one.</t>
        </is>
      </c>
      <c r="Z78" s="33" t="inlineStr">
        <is>
          <t>On termination, is personal data returned or erased, with written confirmation obtained — and does the entity actually pursue this for terminated vendors rather than allowing the relationship to lapse?</t>
        </is>
      </c>
      <c r="AA78" s="33" t="inlineStr">
        <is>
          <t>Inspect a sample of terminated processor relationships for erasure or return confirmations; test the exit procedure.</t>
        </is>
      </c>
      <c r="AB78" s="33" t="inlineStr">
        <is>
          <t>Exit procedure requiring return or erasure and written confirmation · Erasure confirmations for recently terminated processors · Register of terminated relationships with erasure status</t>
        </is>
      </c>
      <c r="AC78" s="33" t="inlineStr">
        <is>
          <t>Up to INR 50 crore</t>
        </is>
      </c>
      <c r="AD78" s="35" t="n">
        <v>7</v>
      </c>
      <c r="AE78" s="33" t="inlineStr">
        <is>
          <t>Every termination triggers a documented return or erasure step, written confirmations are obtained and retained, and a register tracks status to closure.</t>
        </is>
      </c>
    </row>
    <row r="79" ht="42" customHeight="1">
      <c r="A79" s="33" t="inlineStr">
        <is>
          <t>XBD-01</t>
        </is>
      </c>
      <c r="B79" s="33" t="inlineStr">
        <is>
          <t>XBD</t>
        </is>
      </c>
      <c r="C79" s="33" t="inlineStr">
        <is>
          <t>Cross-Border Transfers</t>
        </is>
      </c>
      <c r="D79" s="33" t="inlineStr">
        <is>
          <t>Cross-border transfers mapped</t>
        </is>
      </c>
      <c r="E79" s="33" t="inlineStr">
        <is>
          <t>High</t>
        </is>
      </c>
      <c r="F79" s="34">
        <f>IF(E79="Critical",4,IF(E79="High",3,IF(E79="Medium",2,1)))</f>
        <v/>
      </c>
      <c r="G79" s="35" t="n">
        <v>1.2</v>
      </c>
      <c r="H79" s="33" t="inlineStr">
        <is>
          <t>Yes</t>
        </is>
      </c>
      <c r="I79" s="33" t="inlineStr">
        <is>
          <t>in scope</t>
        </is>
      </c>
      <c r="J79" s="33" t="inlineStr">
        <is>
          <t>s.16(1), DPDP Act, 2023</t>
        </is>
      </c>
      <c r="K79" s="33" t="inlineStr">
        <is>
          <t>[Rules citation to be verified]</t>
        </is>
      </c>
      <c r="L79" s="33" t="inlineStr">
        <is>
          <t>VERIFY_AGAINST_NOTIFIED_RULES</t>
        </is>
      </c>
      <c r="M79" s="36" t="n">
        <v>3</v>
      </c>
      <c r="N79" s="34">
        <f>IF(OR(H79="No",M79="",UPPER(M79)="NA"),0,1)</f>
        <v/>
      </c>
      <c r="O79" s="37">
        <f>IF(H79="No","Out of scope",IF(UPPER(M79)="NA","Not applicable",IF(M79="","Not assessed",IF(M79&gt;=4,"Compliant",IF(M79&gt;=3,"Substantially compliant",IF(M79&gt;=2,"Partially compliant","Non-compliant"))))))</f>
        <v/>
      </c>
      <c r="P79" s="34">
        <f>IF(N79=0,"",F79*(4-M79))</f>
        <v/>
      </c>
      <c r="Q79" s="37">
        <f>IF(P79="","",IF(P79&gt;=12,"Critical",IF(P79&gt;=8,"High",IF(P79&gt;=4,"Medium",IF(P79&gt;=1,"Low","None")))))</f>
        <v/>
      </c>
      <c r="R79" s="34">
        <f>IF(AND(N79=1,M79&lt;3),1,0)</f>
        <v/>
      </c>
      <c r="S79" s="34">
        <f>IF(N79=0,"",M79*G79)</f>
        <v/>
      </c>
      <c r="T79" s="34">
        <f>IF(N79=0,"",4*G79)</f>
        <v/>
      </c>
      <c r="U79" s="27" t="inlineStr">
        <is>
          <t>Transfers are mapped for the principal SaaS platforms and the register records destination country and hosting region. The mapping omits support access from the Singapore affiliate, sub-processor locations, and the CleverTap and Meta onward flows, so it understates the actual footprint.</t>
        </is>
      </c>
      <c r="V79" s="27" t="inlineStr">
        <is>
          <t>WP-130</t>
        </is>
      </c>
      <c r="W79" s="27" t="inlineStr">
        <is>
          <t>Devika Iyer, VP Engineering</t>
        </is>
      </c>
      <c r="X79" s="27" t="inlineStr"/>
      <c r="Y79" s="33" t="inlineStr">
        <is>
          <t>The Central Government may, by notification, restrict the transfer of personal data by a Data Fiduciary for processing to a country or territory outside India. Compliance presupposes knowing where data goes.</t>
        </is>
      </c>
      <c r="Z79" s="33" t="inlineStr">
        <is>
          <t>Is there a complete map of transfers outside India, including access from outside India — offshore support teams, group functions and cloud regions — which constitutes a flow even where storage remains in India?</t>
        </is>
      </c>
      <c r="AA79" s="33" t="inlineStr">
        <is>
          <t>Inspect the transfer map; test completeness against cloud region configuration, support team locations and group access arrangements.</t>
        </is>
      </c>
      <c r="AB79" s="33" t="inlineStr">
        <is>
          <t>Transfer map recording destination country, recipient, data categories and purpose · Treatment of remote access from outside India as a transfer · Cloud region and replication configuration evidence</t>
        </is>
      </c>
      <c r="AC79" s="33" t="inlineStr">
        <is>
          <t>Up to INR 50 crore</t>
        </is>
      </c>
      <c r="AD79" s="35" t="n">
        <v>7</v>
      </c>
      <c r="AE79" s="33" t="inlineStr">
        <is>
          <t>A complete map records every destination and recipient, expressly includes remote access from outside India, and is reconciled to cloud configuration and support arrangements.</t>
        </is>
      </c>
    </row>
    <row r="80" ht="42" customHeight="1">
      <c r="A80" s="33" t="inlineStr">
        <is>
          <t>XBD-02</t>
        </is>
      </c>
      <c r="B80" s="33" t="inlineStr">
        <is>
          <t>XBD</t>
        </is>
      </c>
      <c r="C80" s="33" t="inlineStr">
        <is>
          <t>Cross-Border Transfers</t>
        </is>
      </c>
      <c r="D80" s="33" t="inlineStr">
        <is>
          <t>Monitoring of restricted-country notifications</t>
        </is>
      </c>
      <c r="E80" s="33" t="inlineStr">
        <is>
          <t>Medium</t>
        </is>
      </c>
      <c r="F80" s="34">
        <f>IF(E80="Critical",4,IF(E80="High",3,IF(E80="Medium",2,1)))</f>
        <v/>
      </c>
      <c r="G80" s="35" t="n">
        <v>1</v>
      </c>
      <c r="H80" s="33" t="inlineStr">
        <is>
          <t>Yes</t>
        </is>
      </c>
      <c r="I80" s="33" t="inlineStr">
        <is>
          <t>in scope</t>
        </is>
      </c>
      <c r="J80" s="33" t="inlineStr">
        <is>
          <t>s.16(1), DPDP Act, 2023</t>
        </is>
      </c>
      <c r="K80" s="33" t="inlineStr">
        <is>
          <t>[Rules citation to be verified]</t>
        </is>
      </c>
      <c r="L80" s="33" t="inlineStr">
        <is>
          <t>VERIFY_AGAINST_NOTIFIED_RULES</t>
        </is>
      </c>
      <c r="M80" s="36" t="n">
        <v>2</v>
      </c>
      <c r="N80" s="34">
        <f>IF(OR(H80="No",M80="",UPPER(M80)="NA"),0,1)</f>
        <v/>
      </c>
      <c r="O80" s="37">
        <f>IF(H80="No","Out of scope",IF(UPPER(M80)="NA","Not applicable",IF(M80="","Not assessed",IF(M80&gt;=4,"Compliant",IF(M80&gt;=3,"Substantially compliant",IF(M80&gt;=2,"Partially compliant","Non-compliant"))))))</f>
        <v/>
      </c>
      <c r="P80" s="34">
        <f>IF(N80=0,"",F80*(4-M80))</f>
        <v/>
      </c>
      <c r="Q80" s="37">
        <f>IF(P80="","",IF(P80&gt;=12,"Critical",IF(P80&gt;=8,"High",IF(P80&gt;=4,"Medium",IF(P80&gt;=1,"Low","None")))))</f>
        <v/>
      </c>
      <c r="R80" s="34">
        <f>IF(AND(N80=1,M80&lt;3),1,0)</f>
        <v/>
      </c>
      <c r="S80" s="34">
        <f>IF(N80=0,"",M80*G80)</f>
        <v/>
      </c>
      <c r="T80" s="34">
        <f>IF(N80=0,"",4*G80)</f>
        <v/>
      </c>
      <c r="U80" s="27" t="inlineStr">
        <is>
          <t>No mechanism exists for monitoring restricted-country notifications. The entity became aware of the transfer restriction regime through this assessment and has no owner for tracking it, which means a notification would not be detected and acted upon.</t>
        </is>
      </c>
      <c r="V80" s="27" t="inlineStr">
        <is>
          <t>WP-131</t>
        </is>
      </c>
      <c r="W80" s="27" t="inlineStr">
        <is>
          <t>Meera Raghunathan, Head of Legal &amp; Compliance</t>
        </is>
      </c>
      <c r="X80" s="27" t="inlineStr"/>
      <c r="Y80" s="33" t="inlineStr">
        <is>
          <t>Section 16 operates by notification: transfer is permitted except to countries or territories the Central Government notifies as restricted. The obligation is therefore to monitor for such notifications and respond to them.</t>
        </is>
      </c>
      <c r="Z80" s="33" t="inlineStr">
        <is>
          <t>Does a named owner monitor for notifications restricting transfer, and is there a plan capable of relocating or terminating a flow if a destination the entity relies upon becomes restricted?</t>
        </is>
      </c>
      <c r="AA80" s="33" t="inlineStr">
        <is>
          <t>Enquire as to the monitoring arrangement and owner; inspect contingency planning for principal destinations.</t>
        </is>
      </c>
      <c r="AB80" s="33" t="inlineStr">
        <is>
          <t>Named owner and defined monitoring mechanism for notifications · Contingency assessment for each principal destination · Contractual rights enabling relocation of processing if required</t>
        </is>
      </c>
      <c r="AC80" s="33" t="inlineStr">
        <is>
          <t>Up to INR 50 crore</t>
        </is>
      </c>
      <c r="AD80" s="35" t="n">
        <v>7</v>
      </c>
      <c r="AE80" s="33" t="inlineStr">
        <is>
          <t>A named owner monitors systematically, contingency plans exist for principal destinations, and contracts contain rights enabling relocation of processing.</t>
        </is>
      </c>
    </row>
    <row r="81" ht="42" customHeight="1">
      <c r="A81" s="33" t="inlineStr">
        <is>
          <t>XBD-03</t>
        </is>
      </c>
      <c r="B81" s="33" t="inlineStr">
        <is>
          <t>XBD</t>
        </is>
      </c>
      <c r="C81" s="33" t="inlineStr">
        <is>
          <t>Cross-Border Transfers</t>
        </is>
      </c>
      <c r="D81" s="33" t="inlineStr">
        <is>
          <t>Stricter sectoral localisation requirements identified and met</t>
        </is>
      </c>
      <c r="E81" s="33" t="inlineStr">
        <is>
          <t>Critical</t>
        </is>
      </c>
      <c r="F81" s="34">
        <f>IF(E81="Critical",4,IF(E81="High",3,IF(E81="Medium",2,1)))</f>
        <v/>
      </c>
      <c r="G81" s="35" t="n">
        <v>1.3</v>
      </c>
      <c r="H81" s="33" t="inlineStr">
        <is>
          <t>Yes</t>
        </is>
      </c>
      <c r="I81" s="33" t="inlineStr">
        <is>
          <t>in scope</t>
        </is>
      </c>
      <c r="J81" s="33" t="inlineStr">
        <is>
          <t>s.16(2), DPDP Act, 2023</t>
        </is>
      </c>
      <c r="K81" s="33" t="inlineStr">
        <is>
          <t>[Rules citation to be verified]</t>
        </is>
      </c>
      <c r="L81" s="33" t="inlineStr">
        <is>
          <t>VERIFY_AGAINST_NOTIFIED_RULES</t>
        </is>
      </c>
      <c r="M81" s="36" t="n">
        <v>2</v>
      </c>
      <c r="N81" s="34">
        <f>IF(OR(H81="No",M81="",UPPER(M81)="NA"),0,1)</f>
        <v/>
      </c>
      <c r="O81" s="37">
        <f>IF(H81="No","Out of scope",IF(UPPER(M81)="NA","Not applicable",IF(M81="","Not assessed",IF(M81&gt;=4,"Compliant",IF(M81&gt;=3,"Substantially compliant",IF(M81&gt;=2,"Partially compliant","Non-compliant"))))))</f>
        <v/>
      </c>
      <c r="P81" s="34">
        <f>IF(N81=0,"",F81*(4-M81))</f>
        <v/>
      </c>
      <c r="Q81" s="37">
        <f>IF(P81="","",IF(P81&gt;=12,"Critical",IF(P81&gt;=8,"High",IF(P81&gt;=4,"Medium",IF(P81&gt;=1,"Low","None")))))</f>
        <v/>
      </c>
      <c r="R81" s="34">
        <f>IF(AND(N81=1,M81&lt;3),1,0)</f>
        <v/>
      </c>
      <c r="S81" s="34">
        <f>IF(N81=0,"",M81*G81)</f>
        <v/>
      </c>
      <c r="T81" s="34">
        <f>IF(N81=0,"",4*G81)</f>
        <v/>
      </c>
      <c r="U81" s="27" t="inlineStr">
        <is>
          <t>RBI payment system data localisation requirements are met for the payments platform, with the annual system audit report on file. Localisation requirements have not been assessed for the lending and analytics estates, and the Snowflake account holds transaction-derived data in a configuration that has not been reviewed against the RBI direction. Sectoral requirements of this kind are expressly preserved and are not displaced by compliance with the Act.</t>
        </is>
      </c>
      <c r="V81" s="27" t="inlineStr">
        <is>
          <t>WP-132</t>
        </is>
      </c>
      <c r="W81" s="27" t="inlineStr">
        <is>
          <t>Meera Raghunathan, Head of Legal &amp; Compliance</t>
        </is>
      </c>
      <c r="X81" s="27" t="inlineStr"/>
      <c r="Y81" s="33" t="inlineStr">
        <is>
          <t>Nothing in section 16 restricts the applicability of any law in force in India that provides a higher degree of protection for or restriction on the transfer of personal data outside India.</t>
        </is>
      </c>
      <c r="Z81" s="33" t="inlineStr">
        <is>
          <t>Has the entity identified sectoral requirements binding more tightly than the Act — such as payment system data localisation directions, or insurance and telecom record requirements — and can it evidence compliance with them?</t>
        </is>
      </c>
      <c r="AA81" s="33" t="inlineStr">
        <is>
          <t>Inspect the sectoral requirements analysis; test compliance evidence for each applicable requirement.</t>
        </is>
      </c>
      <c r="AB81" s="33" t="inlineStr">
        <is>
          <t>Analysis of sectoral localisation and transfer requirements applicable to the entity · Compliance evidence for each, including any regulator filings or audit reports · Reconciliation of the transfer map against sectoral constraints</t>
        </is>
      </c>
      <c r="AC81" s="33" t="inlineStr">
        <is>
          <t>Up to INR 50 crore</t>
        </is>
      </c>
      <c r="AD81" s="35" t="n">
        <v>7</v>
      </c>
      <c r="AE81" s="33" t="inlineStr">
        <is>
          <t>Sectoral requirements are identified with the specific instrument cited, compliance is evidenced, and the transfer map is reconciled against each constraint.</t>
        </is>
      </c>
    </row>
    <row r="82" ht="42" customHeight="1">
      <c r="A82" s="33" t="inlineStr">
        <is>
          <t>XBD-04</t>
        </is>
      </c>
      <c r="B82" s="33" t="inlineStr">
        <is>
          <t>XBD</t>
        </is>
      </c>
      <c r="C82" s="33" t="inlineStr">
        <is>
          <t>Cross-Border Transfers</t>
        </is>
      </c>
      <c r="D82" s="33" t="inlineStr">
        <is>
          <t>Transfer safeguards and transparency</t>
        </is>
      </c>
      <c r="E82" s="33" t="inlineStr">
        <is>
          <t>High</t>
        </is>
      </c>
      <c r="F82" s="34">
        <f>IF(E82="Critical",4,IF(E82="High",3,IF(E82="Medium",2,1)))</f>
        <v/>
      </c>
      <c r="G82" s="35" t="n">
        <v>1.1</v>
      </c>
      <c r="H82" s="33" t="inlineStr">
        <is>
          <t>Yes</t>
        </is>
      </c>
      <c r="I82" s="33" t="inlineStr">
        <is>
          <t>in scope</t>
        </is>
      </c>
      <c r="J82" s="33" t="inlineStr">
        <is>
          <t>s.8(1), s.11(1)(b), s.16, DPDP Act, 2023</t>
        </is>
      </c>
      <c r="K82" s="33" t="inlineStr">
        <is>
          <t>[Rules citation to be verified]</t>
        </is>
      </c>
      <c r="L82" s="33" t="inlineStr">
        <is>
          <t>VERIFY_AGAINST_NOTIFIED_RULES</t>
        </is>
      </c>
      <c r="M82" s="36" t="n">
        <v>2</v>
      </c>
      <c r="N82" s="34">
        <f>IF(OR(H82="No",M82="",UPPER(M82)="NA"),0,1)</f>
        <v/>
      </c>
      <c r="O82" s="37">
        <f>IF(H82="No","Out of scope",IF(UPPER(M82)="NA","Not applicable",IF(M82="","Not assessed",IF(M82&gt;=4,"Compliant",IF(M82&gt;=3,"Substantially compliant",IF(M82&gt;=2,"Partially compliant","Non-compliant"))))))</f>
        <v/>
      </c>
      <c r="P82" s="34">
        <f>IF(N82=0,"",F82*(4-M82))</f>
        <v/>
      </c>
      <c r="Q82" s="37">
        <f>IF(P82="","",IF(P82&gt;=12,"Critical",IF(P82&gt;=8,"High",IF(P82&gt;=4,"Medium",IF(P82&gt;=1,"Low","None")))))</f>
        <v/>
      </c>
      <c r="R82" s="34">
        <f>IF(AND(N82=1,M82&lt;3),1,0)</f>
        <v/>
      </c>
      <c r="S82" s="34">
        <f>IF(N82=0,"",M82*G82)</f>
        <v/>
      </c>
      <c r="T82" s="34">
        <f>IF(N82=0,"",4*G82)</f>
        <v/>
      </c>
      <c r="U82" s="27" t="inlineStr">
        <is>
          <t>Standard contractual protections are present in the major SaaS agreements. Transfers are not disclosed in the notice, no assessment of the destination environment has been performed, and the Singapore affiliate's support access operates under an intra-group arrangement that has never been documented.</t>
        </is>
      </c>
      <c r="V82" s="27" t="inlineStr">
        <is>
          <t>WP-133</t>
        </is>
      </c>
      <c r="W82" s="27" t="inlineStr">
        <is>
          <t>Meera Raghunathan, Head of Legal &amp; Compliance</t>
        </is>
      </c>
      <c r="X82" s="27" t="inlineStr"/>
      <c r="Y82" s="33" t="inlineStr">
        <is>
          <t>Responsibility for processing carried out on the Data Fiduciary's behalf continues irrespective of location, and the identities of recipients must be disclosable to a Data Principal on request.</t>
        </is>
      </c>
      <c r="Z82" s="33" t="inlineStr">
        <is>
          <t>Are offshore recipients subject to the same contractual safeguards as domestic ones, and is the fact of transfer outside India disclosed where relevant to the Data Principal?</t>
        </is>
      </c>
      <c r="AA82" s="33" t="inlineStr">
        <is>
          <t>Inspect offshore recipient contracts for equivalence of safeguards; inspect notice content for transfer disclosure.</t>
        </is>
      </c>
      <c r="AB82" s="33" t="inlineStr">
        <is>
          <t>Contracts with offshore recipients containing equivalent safeguard obligations · Notice or disclosure referring to processing outside India where applicable · Assurance evidence for offshore recipients</t>
        </is>
      </c>
      <c r="AC82" s="33" t="inlineStr">
        <is>
          <t>Up to INR 50 crore</t>
        </is>
      </c>
      <c r="AD82" s="35" t="n">
        <v>7</v>
      </c>
      <c r="AE82" s="33" t="inlineStr">
        <is>
          <t>Offshore recipients are bound by equivalent safeguards with commensurate assurance, and transfer outside India is disclosed where relevant.</t>
        </is>
      </c>
    </row>
    <row r="83" ht="42" customHeight="1">
      <c r="A83" s="33" t="inlineStr">
        <is>
          <t>SDF-01</t>
        </is>
      </c>
      <c r="B83" s="33" t="inlineStr">
        <is>
          <t>SDF</t>
        </is>
      </c>
      <c r="C83" s="33" t="inlineStr">
        <is>
          <t>Significant Data Fiduciary Obligations</t>
        </is>
      </c>
      <c r="D83" s="33" t="inlineStr">
        <is>
          <t>Data Protection Officer appointed and based in India</t>
        </is>
      </c>
      <c r="E83" s="33" t="inlineStr">
        <is>
          <t>Critical</t>
        </is>
      </c>
      <c r="F83" s="34">
        <f>IF(E83="Critical",4,IF(E83="High",3,IF(E83="Medium",2,1)))</f>
        <v/>
      </c>
      <c r="G83" s="35" t="n">
        <v>1.4</v>
      </c>
      <c r="H83" s="33" t="inlineStr">
        <is>
          <t>Yes</t>
        </is>
      </c>
      <c r="I83" s="33" t="inlineStr">
        <is>
          <t>in scope</t>
        </is>
      </c>
      <c r="J83" s="33" t="inlineStr">
        <is>
          <t>s.10(2)(a), DPDP Act, 2023</t>
        </is>
      </c>
      <c r="K83" s="33" t="inlineStr">
        <is>
          <t>—</t>
        </is>
      </c>
      <c r="L83" s="33" t="inlineStr">
        <is>
          <t>—</t>
        </is>
      </c>
      <c r="M83" s="36" t="n">
        <v>1</v>
      </c>
      <c r="N83" s="34">
        <f>IF(OR(H83="No",M83="",UPPER(M83)="NA"),0,1)</f>
        <v/>
      </c>
      <c r="O83" s="37">
        <f>IF(H83="No","Out of scope",IF(UPPER(M83)="NA","Not applicable",IF(M83="","Not assessed",IF(M83&gt;=4,"Compliant",IF(M83&gt;=3,"Substantially compliant",IF(M83&gt;=2,"Partially compliant","Non-compliant"))))))</f>
        <v/>
      </c>
      <c r="P83" s="34">
        <f>IF(N83=0,"",F83*(4-M83))</f>
        <v/>
      </c>
      <c r="Q83" s="37">
        <f>IF(P83="","",IF(P83&gt;=12,"Critical",IF(P83&gt;=8,"High",IF(P83&gt;=4,"Medium",IF(P83&gt;=1,"Low","None")))))</f>
        <v/>
      </c>
      <c r="R83" s="34">
        <f>IF(AND(N83=1,M83&lt;3),1,0)</f>
        <v/>
      </c>
      <c r="S83" s="34">
        <f>IF(N83=0,"",M83*G83)</f>
        <v/>
      </c>
      <c r="T83" s="34">
        <f>IF(N83=0,"",4*G83)</f>
        <v/>
      </c>
      <c r="U83" s="27" t="inlineStr">
        <is>
          <t>No Data Protection Officer has been appointed. The Head of Legal &amp; Compliance performs the function informally alongside a broad commercial mandate, reports to the General Counsel rather than to the board, and is not designated as DPO in any board record. The statutory requirement is a DPO based in India who represents the Significant Data Fiduciary and is responsible to the board, and none of those three elements is presently satisfied.</t>
        </is>
      </c>
      <c r="V83" s="27" t="inlineStr">
        <is>
          <t>WP-140</t>
        </is>
      </c>
      <c r="W83" s="27" t="inlineStr">
        <is>
          <t>Vikram Shetty, Chief Financial Officer</t>
        </is>
      </c>
      <c r="X83" s="27" t="inlineStr"/>
      <c r="Y83" s="33" t="inlineStr">
        <is>
          <t>A Significant Data Fiduciary must appoint a Data Protection Officer who is based in India, is responsible to the board of directors or similar governing body, and is the point of contact for the grievance redressal mechanism.</t>
        </is>
      </c>
      <c r="Z83" s="33" t="inlineStr">
        <is>
          <t>Is a DPO appointed who is genuinely based in India, reports to the board rather than through a functional line that could suppress escalation, and is the designated grievance contact?</t>
        </is>
      </c>
      <c r="AA83" s="33" t="inlineStr">
        <is>
          <t>Inspect the appointment, reporting line and location; corroborate board reporting through minutes; verify the DPO is the published grievance contact.</t>
        </is>
      </c>
      <c r="AB83" s="33" t="inlineStr">
        <is>
          <t>Appointment letter recording India base, remit and reporting line to the board · Board minutes evidencing direct reporting · Published contact details identifying the DPO as grievance point of contact</t>
        </is>
      </c>
      <c r="AC83" s="33" t="inlineStr">
        <is>
          <t>Up to INR 150 crore</t>
        </is>
      </c>
      <c r="AD83" s="35" t="n">
        <v>4</v>
      </c>
      <c r="AE83" s="33" t="inlineStr">
        <is>
          <t>An India-based DPO is formally appointed with a reporting line to the board evidenced in minutes, is the published grievance contact, and has resourcing and independence to act.</t>
        </is>
      </c>
    </row>
    <row r="84" ht="42" customHeight="1">
      <c r="A84" s="33" t="inlineStr">
        <is>
          <t>SDF-02</t>
        </is>
      </c>
      <c r="B84" s="33" t="inlineStr">
        <is>
          <t>SDF</t>
        </is>
      </c>
      <c r="C84" s="33" t="inlineStr">
        <is>
          <t>Significant Data Fiduciary Obligations</t>
        </is>
      </c>
      <c r="D84" s="33" t="inlineStr">
        <is>
          <t>Independent data auditor appointed</t>
        </is>
      </c>
      <c r="E84" s="33" t="inlineStr">
        <is>
          <t>Critical</t>
        </is>
      </c>
      <c r="F84" s="34">
        <f>IF(E84="Critical",4,IF(E84="High",3,IF(E84="Medium",2,1)))</f>
        <v/>
      </c>
      <c r="G84" s="35" t="n">
        <v>1.3</v>
      </c>
      <c r="H84" s="33" t="inlineStr">
        <is>
          <t>Yes</t>
        </is>
      </c>
      <c r="I84" s="33" t="inlineStr">
        <is>
          <t>in scope</t>
        </is>
      </c>
      <c r="J84" s="33" t="inlineStr">
        <is>
          <t>s.10(2)(b), DPDP Act, 2023</t>
        </is>
      </c>
      <c r="K84" s="33" t="inlineStr">
        <is>
          <t>[Rules citation to be verified]</t>
        </is>
      </c>
      <c r="L84" s="33" t="inlineStr">
        <is>
          <t>VERIFY_AGAINST_NOTIFIED_RULES</t>
        </is>
      </c>
      <c r="M84" s="36" t="n">
        <v>0</v>
      </c>
      <c r="N84" s="34">
        <f>IF(OR(H84="No",M84="",UPPER(M84)="NA"),0,1)</f>
        <v/>
      </c>
      <c r="O84" s="37">
        <f>IF(H84="No","Out of scope",IF(UPPER(M84)="NA","Not applicable",IF(M84="","Not assessed",IF(M84&gt;=4,"Compliant",IF(M84&gt;=3,"Substantially compliant",IF(M84&gt;=2,"Partially compliant","Non-compliant"))))))</f>
        <v/>
      </c>
      <c r="P84" s="34">
        <f>IF(N84=0,"",F84*(4-M84))</f>
        <v/>
      </c>
      <c r="Q84" s="37">
        <f>IF(P84="","",IF(P84&gt;=12,"Critical",IF(P84&gt;=8,"High",IF(P84&gt;=4,"Medium",IF(P84&gt;=1,"Low","None")))))</f>
        <v/>
      </c>
      <c r="R84" s="34">
        <f>IF(AND(N84=1,M84&lt;3),1,0)</f>
        <v/>
      </c>
      <c r="S84" s="34">
        <f>IF(N84=0,"",M84*G84)</f>
        <v/>
      </c>
      <c r="T84" s="34">
        <f>IF(N84=0,"",4*G84)</f>
        <v/>
      </c>
      <c r="U84" s="27" t="inlineStr">
        <is>
          <t>No independent data auditor has been appointed. Management's position was that the existing ISO 27001 certification body discharges the requirement; that engagement is an information security certification and does not evaluate compliance with the Act.</t>
        </is>
      </c>
      <c r="V84" s="27" t="inlineStr">
        <is>
          <t>WP-141</t>
        </is>
      </c>
      <c r="W84" s="27" t="inlineStr">
        <is>
          <t>Vikram Shetty, Chief Financial Officer</t>
        </is>
      </c>
      <c r="X84" s="27" t="inlineStr"/>
      <c r="Y84" s="33" t="inlineStr">
        <is>
          <t>A Significant Data Fiduciary must appoint an independent data auditor to evaluate its compliance with the provisions of the Act.</t>
        </is>
      </c>
      <c r="Z84" s="33" t="inlineStr">
        <is>
          <t>Is an independent data auditor appointed, with independence genuinely established — not the same firm that designed the compliance programme — and with a scope covering compliance with the Act as a whole?</t>
        </is>
      </c>
      <c r="AA84" s="33" t="inlineStr">
        <is>
          <t>Inspect the appointment and engagement scope; assess independence including prior advisory work; review the most recent audit report and management response.</t>
        </is>
      </c>
      <c r="AB84" s="33" t="inlineStr">
        <is>
          <t>Appointment of an independent data auditor with engagement terms · Independence assessment addressing prior or concurrent advisory work · Most recent audit report with management response and remediation tracking</t>
        </is>
      </c>
      <c r="AC84" s="33" t="inlineStr">
        <is>
          <t>Up to INR 150 crore</t>
        </is>
      </c>
      <c r="AD84" s="35" t="n">
        <v>4</v>
      </c>
      <c r="AE84" s="33" t="inlineStr">
        <is>
          <t>An independent auditor with documented independence is appointed on a scope covering the Act, reports are issued and considered by the board, and findings are tracked to closure.</t>
        </is>
      </c>
    </row>
    <row r="85" ht="42" customHeight="1">
      <c r="A85" s="33" t="inlineStr">
        <is>
          <t>SDF-03</t>
        </is>
      </c>
      <c r="B85" s="33" t="inlineStr">
        <is>
          <t>SDF</t>
        </is>
      </c>
      <c r="C85" s="33" t="inlineStr">
        <is>
          <t>Significant Data Fiduciary Obligations</t>
        </is>
      </c>
      <c r="D85" s="33" t="inlineStr">
        <is>
          <t>Periodic Data Protection Impact Assessment</t>
        </is>
      </c>
      <c r="E85" s="33" t="inlineStr">
        <is>
          <t>Critical</t>
        </is>
      </c>
      <c r="F85" s="34">
        <f>IF(E85="Critical",4,IF(E85="High",3,IF(E85="Medium",2,1)))</f>
        <v/>
      </c>
      <c r="G85" s="35" t="n">
        <v>1.3</v>
      </c>
      <c r="H85" s="33" t="inlineStr">
        <is>
          <t>Yes</t>
        </is>
      </c>
      <c r="I85" s="33" t="inlineStr">
        <is>
          <t>in scope</t>
        </is>
      </c>
      <c r="J85" s="33" t="inlineStr">
        <is>
          <t>s.10(2)(c)(i), DPDP Act, 2023</t>
        </is>
      </c>
      <c r="K85" s="33" t="inlineStr">
        <is>
          <t>[Rules citation to be verified]</t>
        </is>
      </c>
      <c r="L85" s="33" t="inlineStr">
        <is>
          <t>VERIFY_AGAINST_NOTIFIED_RULES</t>
        </is>
      </c>
      <c r="M85" s="36" t="n">
        <v>1</v>
      </c>
      <c r="N85" s="34">
        <f>IF(OR(H85="No",M85="",UPPER(M85)="NA"),0,1)</f>
        <v/>
      </c>
      <c r="O85" s="37">
        <f>IF(H85="No","Out of scope",IF(UPPER(M85)="NA","Not applicable",IF(M85="","Not assessed",IF(M85&gt;=4,"Compliant",IF(M85&gt;=3,"Substantially compliant",IF(M85&gt;=2,"Partially compliant","Non-compliant"))))))</f>
        <v/>
      </c>
      <c r="P85" s="34">
        <f>IF(N85=0,"",F85*(4-M85))</f>
        <v/>
      </c>
      <c r="Q85" s="37">
        <f>IF(P85="","",IF(P85&gt;=12,"Critical",IF(P85&gt;=8,"High",IF(P85&gt;=4,"Medium",IF(P85&gt;=1,"Low","None")))))</f>
        <v/>
      </c>
      <c r="R85" s="34">
        <f>IF(AND(N85=1,M85&lt;3),1,0)</f>
        <v/>
      </c>
      <c r="S85" s="34">
        <f>IF(N85=0,"",M85*G85)</f>
        <v/>
      </c>
      <c r="T85" s="34">
        <f>IF(N85=0,"",4*G85)</f>
        <v/>
      </c>
      <c r="U85" s="27" t="inlineStr">
        <is>
          <t>No Data Protection Impact Assessment has been conducted. A template was drafted in January 2026 and remains unapproved and unused. The obligation is periodic and applies to the entity as a Significant Data Fiduciary irrespective of individual product risk.</t>
        </is>
      </c>
      <c r="V85" s="27" t="inlineStr">
        <is>
          <t>WP-142</t>
        </is>
      </c>
      <c r="W85" s="27" t="inlineStr">
        <is>
          <t>Meera Raghunathan, Head of Legal &amp; Compliance</t>
        </is>
      </c>
      <c r="X85" s="27" t="inlineStr"/>
      <c r="Y85" s="33" t="inlineStr">
        <is>
          <t>A Significant Data Fiduciary must undertake periodic Data Protection Impact Assessment, being a process comprising a description of the rights of Data Principals, the purpose of processing, assessment and management of risk to those rights, and such other matters as may be prescribed.</t>
        </is>
      </c>
      <c r="Z85" s="33" t="inlineStr">
        <is>
          <t>Are DPIAs conducted periodically and on material change, addressing each statutory element including assessment and management of risk to the rights of Data Principals — and do they drive actual mitigation?</t>
        </is>
      </c>
      <c r="AA85" s="33" t="inlineStr">
        <is>
          <t>Inspect completed DPIAs against the statutory definition; test whether identified risks resulted in mitigation and whether the periodic cycle is met.</t>
        </is>
      </c>
      <c r="AB85" s="33" t="inlineStr">
        <is>
          <t>DPIAs covering each element of the statutory definition · Defined periodicity and triggers for reassessment on material change · Evidence of risks mitigated as a result, tracked to closure</t>
        </is>
      </c>
      <c r="AC85" s="33" t="inlineStr">
        <is>
          <t>Up to INR 150 crore</t>
        </is>
      </c>
      <c r="AD85" s="35" t="n">
        <v>4</v>
      </c>
      <c r="AE85" s="33" t="inlineStr">
        <is>
          <t>DPIAs address every statutory element, run on a defined periodic cycle and on material change, and demonstrably drive mitigation tracked to closure.</t>
        </is>
      </c>
    </row>
    <row r="86" ht="42" customHeight="1">
      <c r="A86" s="33" t="inlineStr">
        <is>
          <t>SDF-04</t>
        </is>
      </c>
      <c r="B86" s="33" t="inlineStr">
        <is>
          <t>SDF</t>
        </is>
      </c>
      <c r="C86" s="33" t="inlineStr">
        <is>
          <t>Significant Data Fiduciary Obligations</t>
        </is>
      </c>
      <c r="D86" s="33" t="inlineStr">
        <is>
          <t>Periodic audit of compliance</t>
        </is>
      </c>
      <c r="E86" s="33" t="inlineStr">
        <is>
          <t>High</t>
        </is>
      </c>
      <c r="F86" s="34">
        <f>IF(E86="Critical",4,IF(E86="High",3,IF(E86="Medium",2,1)))</f>
        <v/>
      </c>
      <c r="G86" s="35" t="n">
        <v>1.2</v>
      </c>
      <c r="H86" s="33" t="inlineStr">
        <is>
          <t>Yes</t>
        </is>
      </c>
      <c r="I86" s="33" t="inlineStr">
        <is>
          <t>in scope</t>
        </is>
      </c>
      <c r="J86" s="33" t="inlineStr">
        <is>
          <t>s.10(2)(c), DPDP Act, 2023</t>
        </is>
      </c>
      <c r="K86" s="33" t="inlineStr">
        <is>
          <t>[Rules citation to be verified]</t>
        </is>
      </c>
      <c r="L86" s="33" t="inlineStr">
        <is>
          <t>VERIFY_AGAINST_NOTIFIED_RULES</t>
        </is>
      </c>
      <c r="M86" s="36" t="n">
        <v>1</v>
      </c>
      <c r="N86" s="34">
        <f>IF(OR(H86="No",M86="",UPPER(M86)="NA"),0,1)</f>
        <v/>
      </c>
      <c r="O86" s="37">
        <f>IF(H86="No","Out of scope",IF(UPPER(M86)="NA","Not applicable",IF(M86="","Not assessed",IF(M86&gt;=4,"Compliant",IF(M86&gt;=3,"Substantially compliant",IF(M86&gt;=2,"Partially compliant","Non-compliant"))))))</f>
        <v/>
      </c>
      <c r="P86" s="34">
        <f>IF(N86=0,"",F86*(4-M86))</f>
        <v/>
      </c>
      <c r="Q86" s="37">
        <f>IF(P86="","",IF(P86&gt;=12,"Critical",IF(P86&gt;=8,"High",IF(P86&gt;=4,"Medium",IF(P86&gt;=1,"Low","None")))))</f>
        <v/>
      </c>
      <c r="R86" s="34">
        <f>IF(AND(N86=1,M86&lt;3),1,0)</f>
        <v/>
      </c>
      <c r="S86" s="34">
        <f>IF(N86=0,"",M86*G86)</f>
        <v/>
      </c>
      <c r="T86" s="34">
        <f>IF(N86=0,"",4*G86)</f>
        <v/>
      </c>
      <c r="U86" s="27" t="inlineStr">
        <is>
          <t>No periodic audit of compliance with the Act has been undertaken. This assessment is the first exercise of its kind and was commissioned by management rather than performed by an independent auditor, so it does not itself discharge the obligation.</t>
        </is>
      </c>
      <c r="V86" s="27" t="inlineStr">
        <is>
          <t>WP-143</t>
        </is>
      </c>
      <c r="W86" s="27" t="inlineStr">
        <is>
          <t>Vikram Shetty, Chief Financial Officer</t>
        </is>
      </c>
      <c r="X86" s="27" t="inlineStr"/>
      <c r="Y86" s="33" t="inlineStr">
        <is>
          <t>A Significant Data Fiduciary must undertake periodic audit, in addition to appointing an independent data auditor, as part of the additional measures required of it.</t>
        </is>
      </c>
      <c r="Z86" s="33" t="inlineStr">
        <is>
          <t>Is a periodic audit of compliance performed on the prescribed cycle, with results reported to the board and findings remediated?</t>
        </is>
      </c>
      <c r="AA86" s="33" t="inlineStr">
        <is>
          <t>Inspect audit plan, completed audits and reporting; test remediation of prior findings.</t>
        </is>
      </c>
      <c r="AB86" s="33" t="inlineStr">
        <is>
          <t>Audit plan and completed audit reports on the prescribed cycle · Reporting to the board or equivalent governing body · Remediation tracking with evidence of closure</t>
        </is>
      </c>
      <c r="AC86" s="33" t="inlineStr">
        <is>
          <t>Up to INR 150 crore</t>
        </is>
      </c>
      <c r="AD86" s="35" t="n">
        <v>4</v>
      </c>
      <c r="AE86" s="33" t="inlineStr">
        <is>
          <t>Audits run on the prescribed cycle with adequate scope, are reported to the board, and findings are remediated and validated.</t>
        </is>
      </c>
    </row>
    <row r="87" ht="42" customHeight="1">
      <c r="A87" s="33" t="inlineStr">
        <is>
          <t>SDF-05</t>
        </is>
      </c>
      <c r="B87" s="33" t="inlineStr">
        <is>
          <t>SDF</t>
        </is>
      </c>
      <c r="C87" s="33" t="inlineStr">
        <is>
          <t>Significant Data Fiduciary Obligations</t>
        </is>
      </c>
      <c r="D87" s="33" t="inlineStr">
        <is>
          <t>Algorithmic software due diligence</t>
        </is>
      </c>
      <c r="E87" s="33" t="inlineStr">
        <is>
          <t>High</t>
        </is>
      </c>
      <c r="F87" s="34">
        <f>IF(E87="Critical",4,IF(E87="High",3,IF(E87="Medium",2,1)))</f>
        <v/>
      </c>
      <c r="G87" s="35" t="n">
        <v>1.2</v>
      </c>
      <c r="H87" s="33" t="inlineStr">
        <is>
          <t>Yes</t>
        </is>
      </c>
      <c r="I87" s="33" t="inlineStr">
        <is>
          <t>in scope</t>
        </is>
      </c>
      <c r="J87" s="33" t="inlineStr">
        <is>
          <t>s.10(2)(c), DPDP Act, 2023</t>
        </is>
      </c>
      <c r="K87" s="33" t="inlineStr">
        <is>
          <t>[Rules citation to be verified]</t>
        </is>
      </c>
      <c r="L87" s="33" t="inlineStr">
        <is>
          <t>VERIFY_AGAINST_NOTIFIED_RULES</t>
        </is>
      </c>
      <c r="M87" s="36" t="n">
        <v>1</v>
      </c>
      <c r="N87" s="34">
        <f>IF(OR(H87="No",M87="",UPPER(M87)="NA"),0,1)</f>
        <v/>
      </c>
      <c r="O87" s="37">
        <f>IF(H87="No","Out of scope",IF(UPPER(M87)="NA","Not applicable",IF(M87="","Not assessed",IF(M87&gt;=4,"Compliant",IF(M87&gt;=3,"Substantially compliant",IF(M87&gt;=2,"Partially compliant","Non-compliant"))))))</f>
        <v/>
      </c>
      <c r="P87" s="34">
        <f>IF(N87=0,"",F87*(4-M87))</f>
        <v/>
      </c>
      <c r="Q87" s="37">
        <f>IF(P87="","",IF(P87&gt;=12,"Critical",IF(P87&gt;=8,"High",IF(P87&gt;=4,"Medium",IF(P87&gt;=1,"Low","None")))))</f>
        <v/>
      </c>
      <c r="R87" s="34">
        <f>IF(AND(N87=1,M87&lt;3),1,0)</f>
        <v/>
      </c>
      <c r="S87" s="34">
        <f>IF(N87=0,"",M87*G87)</f>
        <v/>
      </c>
      <c r="T87" s="34">
        <f>IF(N87=0,"",4*G87)</f>
        <v/>
      </c>
      <c r="U87" s="27" t="inlineStr">
        <is>
          <t>Algorithmic due diligence is not performed. Three models act on personal data with direct consequences for Data Principals — underwriting, collections prioritisation and churn prediction — and none has been assessed for risk to the rights of Data Principals. The underwriting model has documented fairness testing performed for RBI purposes, which is the nearest available evidence but is directed at a different question.</t>
        </is>
      </c>
      <c r="V87" s="27" t="inlineStr">
        <is>
          <t>WP-144</t>
        </is>
      </c>
      <c r="W87" s="27" t="inlineStr">
        <is>
          <t>Devika Iyer, VP Engineering</t>
        </is>
      </c>
      <c r="X87" s="27" t="inlineStr"/>
      <c r="Y87" s="33" t="inlineStr">
        <is>
          <t>A Significant Data Fiduciary must observe such other measures as may be prescribed, including due diligence to verify that algorithmic software deployed by it for hosting, display, uploading, modification or transmission of personal data is not likely to pose a risk to the rights of Data Principals.</t>
        </is>
      </c>
      <c r="Z87" s="33" t="inlineStr">
        <is>
          <t>Is there an inventory of algorithmic systems processing personal data, with documented due diligence assessing risk to the rights of Data Principals — including bias, accuracy and the effect of automated decisions?</t>
        </is>
      </c>
      <c r="AA87" s="33" t="inlineStr">
        <is>
          <t>Inspect the algorithm inventory and due diligence records; test one high-impact model for evidence of assessment and mitigation.</t>
        </is>
      </c>
      <c r="AB87" s="33" t="inlineStr">
        <is>
          <t>Inventory of algorithmic and machine-learning systems processing personal data · Due diligence records assessing risk to rights, including bias and accuracy testing · Mitigation and human review arrangements for high-impact decisions</t>
        </is>
      </c>
      <c r="AC87" s="33" t="inlineStr">
        <is>
          <t>Up to INR 150 crore</t>
        </is>
      </c>
      <c r="AD87" s="35" t="n">
        <v>4</v>
      </c>
      <c r="AE87" s="33" t="inlineStr">
        <is>
          <t>A complete inventory is subject to documented due diligence addressing risk to rights, with bias and accuracy testing, mitigation, and human review for high-impact decisions.</t>
        </is>
      </c>
    </row>
    <row r="88" ht="42" customHeight="1">
      <c r="A88" s="33" t="inlineStr">
        <is>
          <t>SDF-06</t>
        </is>
      </c>
      <c r="B88" s="33" t="inlineStr">
        <is>
          <t>SDF</t>
        </is>
      </c>
      <c r="C88" s="33" t="inlineStr">
        <is>
          <t>Significant Data Fiduciary Obligations</t>
        </is>
      </c>
      <c r="D88" s="33" t="inlineStr">
        <is>
          <t>Transfer restrictions applicable to a Significant Data Fiduciary</t>
        </is>
      </c>
      <c r="E88" s="33" t="inlineStr">
        <is>
          <t>High</t>
        </is>
      </c>
      <c r="F88" s="34">
        <f>IF(E88="Critical",4,IF(E88="High",3,IF(E88="Medium",2,1)))</f>
        <v/>
      </c>
      <c r="G88" s="35" t="n">
        <v>1.1</v>
      </c>
      <c r="H88" s="33" t="inlineStr">
        <is>
          <t>Yes</t>
        </is>
      </c>
      <c r="I88" s="33" t="inlineStr">
        <is>
          <t>in scope</t>
        </is>
      </c>
      <c r="J88" s="33" t="inlineStr">
        <is>
          <t>s.10(2)(c) read with s.16, DPDP Act, 2023</t>
        </is>
      </c>
      <c r="K88" s="33" t="inlineStr">
        <is>
          <t>[Rules citation to be verified]</t>
        </is>
      </c>
      <c r="L88" s="33" t="inlineStr">
        <is>
          <t>VERIFY_AGAINST_NOTIFIED_RULES</t>
        </is>
      </c>
      <c r="M88" s="36" t="n">
        <v>2</v>
      </c>
      <c r="N88" s="34">
        <f>IF(OR(H88="No",M88="",UPPER(M88)="NA"),0,1)</f>
        <v/>
      </c>
      <c r="O88" s="37">
        <f>IF(H88="No","Out of scope",IF(UPPER(M88)="NA","Not applicable",IF(M88="","Not assessed",IF(M88&gt;=4,"Compliant",IF(M88&gt;=3,"Substantially compliant",IF(M88&gt;=2,"Partially compliant","Non-compliant"))))))</f>
        <v/>
      </c>
      <c r="P88" s="34">
        <f>IF(N88=0,"",F88*(4-M88))</f>
        <v/>
      </c>
      <c r="Q88" s="37">
        <f>IF(P88="","",IF(P88&gt;=12,"Critical",IF(P88&gt;=8,"High",IF(P88&gt;=4,"Medium",IF(P88&gt;=1,"Low","None")))))</f>
        <v/>
      </c>
      <c r="R88" s="34">
        <f>IF(AND(N88=1,M88&lt;3),1,0)</f>
        <v/>
      </c>
      <c r="S88" s="34">
        <f>IF(N88=0,"",M88*G88)</f>
        <v/>
      </c>
      <c r="T88" s="34">
        <f>IF(N88=0,"",4*G88)</f>
        <v/>
      </c>
      <c r="U88" s="27" t="inlineStr">
        <is>
          <t>The entity has not identified whether any transfer restriction specific to a Significant Data Fiduciary applies to it, and has no process for monitoring the position. The gap follows from XBD-02 and would be closed by the same mechanism.</t>
        </is>
      </c>
      <c r="V88" s="27" t="inlineStr">
        <is>
          <t>WP-145</t>
        </is>
      </c>
      <c r="W88" s="27" t="inlineStr">
        <is>
          <t>Meera Raghunathan, Head of Legal &amp; Compliance</t>
        </is>
      </c>
      <c r="X88" s="27" t="inlineStr"/>
      <c r="Y88" s="33" t="inlineStr">
        <is>
          <t>Additional measures prescribed for a Significant Data Fiduciary may include restrictions on the transfer outside India of specified categories of personal data or of traffic and flow data.</t>
        </is>
      </c>
      <c r="Z88" s="33" t="inlineStr">
        <is>
          <t>Has the entity determined whether any category of personal data or traffic data it holds is subject to a transfer restriction applicable to Significant Data Fiduciaries, and can it evidence compliance?</t>
        </is>
      </c>
      <c r="AA88" s="33" t="inlineStr">
        <is>
          <t>Inspect the determination and supporting analysis; reconcile against the transfer map at XBD-01.</t>
        </is>
      </c>
      <c r="AB88" s="33" t="inlineStr">
        <is>
          <t>Analysis of applicable transfer restrictions and the categories affected · Reconciliation against the cross-border transfer map · Technical controls preventing restricted transfers</t>
        </is>
      </c>
      <c r="AC88" s="33" t="inlineStr">
        <is>
          <t>Up to INR 150 crore</t>
        </is>
      </c>
      <c r="AD88" s="35" t="n">
        <v>4</v>
      </c>
      <c r="AE88" s="33" t="inlineStr">
        <is>
          <t>Affected categories are identified, reconciled against the transfer map, and technical controls prevent restricted transfers with monitoring for exceptions.</t>
        </is>
      </c>
    </row>
    <row r="89" ht="42" customHeight="1">
      <c r="A89" s="33" t="inlineStr">
        <is>
          <t>BRD-01</t>
        </is>
      </c>
      <c r="B89" s="33" t="inlineStr">
        <is>
          <t>BRD</t>
        </is>
      </c>
      <c r="C89" s="33" t="inlineStr">
        <is>
          <t>Enforcement Readiness &amp; Board Engagement</t>
        </is>
      </c>
      <c r="D89" s="33" t="inlineStr">
        <is>
          <t>Capability to respond to a Board inquiry</t>
        </is>
      </c>
      <c r="E89" s="33" t="inlineStr">
        <is>
          <t>Medium</t>
        </is>
      </c>
      <c r="F89" s="34">
        <f>IF(E89="Critical",4,IF(E89="High",3,IF(E89="Medium",2,1)))</f>
        <v/>
      </c>
      <c r="G89" s="35" t="n">
        <v>1</v>
      </c>
      <c r="H89" s="33" t="inlineStr">
        <is>
          <t>Yes</t>
        </is>
      </c>
      <c r="I89" s="33" t="inlineStr">
        <is>
          <t>in scope</t>
        </is>
      </c>
      <c r="J89" s="33" t="inlineStr">
        <is>
          <t>s.27, s.28, s.36, DPDP Act, 2023</t>
        </is>
      </c>
      <c r="K89" s="33" t="inlineStr">
        <is>
          <t>[Rules citation to be verified]</t>
        </is>
      </c>
      <c r="L89" s="33" t="inlineStr">
        <is>
          <t>VERIFY_AGAINST_NOTIFIED_RULES</t>
        </is>
      </c>
      <c r="M89" s="36" t="n">
        <v>2</v>
      </c>
      <c r="N89" s="34">
        <f>IF(OR(H89="No",M89="",UPPER(M89)="NA"),0,1)</f>
        <v/>
      </c>
      <c r="O89" s="37">
        <f>IF(H89="No","Out of scope",IF(UPPER(M89)="NA","Not applicable",IF(M89="","Not assessed",IF(M89&gt;=4,"Compliant",IF(M89&gt;=3,"Substantially compliant",IF(M89&gt;=2,"Partially compliant","Non-compliant"))))))</f>
        <v/>
      </c>
      <c r="P89" s="34">
        <f>IF(N89=0,"",F89*(4-M89))</f>
        <v/>
      </c>
      <c r="Q89" s="37">
        <f>IF(P89="","",IF(P89&gt;=12,"Critical",IF(P89&gt;=8,"High",IF(P89&gt;=4,"Medium",IF(P89&gt;=1,"Low","None")))))</f>
        <v/>
      </c>
      <c r="R89" s="34">
        <f>IF(AND(N89=1,M89&lt;3),1,0)</f>
        <v/>
      </c>
      <c r="S89" s="34">
        <f>IF(N89=0,"",M89*G89)</f>
        <v/>
      </c>
      <c r="T89" s="34">
        <f>IF(N89=0,"",4*G89)</f>
        <v/>
      </c>
      <c r="U89" s="27" t="inlineStr">
        <is>
          <t>The entity has experience of responding to RBI inspections and has a regulatory response process, which provides a partial foundation. No owner is designated for Data Protection Board correspondence, and the evidence deficiencies at GOV-07 and CON-07 mean the entity could not currently produce the consent and notice records an inquiry would be most likely to seek.</t>
        </is>
      </c>
      <c r="V89" s="27" t="inlineStr">
        <is>
          <t>WP-150</t>
        </is>
      </c>
      <c r="W89" s="27" t="inlineStr">
        <is>
          <t>Meera Raghunathan, Head of Legal &amp; Compliance</t>
        </is>
      </c>
      <c r="X89" s="27" t="inlineStr"/>
      <c r="Y89" s="33" t="inlineStr">
        <is>
          <t>The Board may, on receipt of a complaint or on reference, inquire into a breach and may require the production of information. An entity must be able to respond within the timescales the Board sets.</t>
        </is>
      </c>
      <c r="Z89" s="33" t="inlineStr">
        <is>
          <t>Is there a defined procedure for receiving and responding to a communication from the Board, with a named owner, legal involvement and the ability to assemble evidence at short notice?</t>
        </is>
      </c>
      <c r="AA89" s="33" t="inlineStr">
        <is>
          <t>Inspect the procedure and named owner; test evidence assembly by requiring production of a defined evidence set within a short deadline.</t>
        </is>
      </c>
      <c r="AB89" s="33" t="inlineStr">
        <is>
          <t>Documented procedure for handling Board communications with a named owner · Evidence repository enabling rapid assembly of compliance artefacts · Legal and communications escalation arrangements</t>
        </is>
      </c>
      <c r="AC89" s="33" t="inlineStr">
        <is>
          <t>—</t>
        </is>
      </c>
      <c r="AD89" s="35" t="inlineStr"/>
      <c r="AE89" s="33" t="inlineStr">
        <is>
          <t>A defined procedure with a named owner is supported by an organised evidence repository, and testing confirms a complete evidence set can be assembled at short notice.</t>
        </is>
      </c>
    </row>
    <row r="90" ht="42" customHeight="1">
      <c r="A90" s="33" t="inlineStr">
        <is>
          <t>BRD-02</t>
        </is>
      </c>
      <c r="B90" s="33" t="inlineStr">
        <is>
          <t>BRD</t>
        </is>
      </c>
      <c r="C90" s="33" t="inlineStr">
        <is>
          <t>Enforcement Readiness &amp; Board Engagement</t>
        </is>
      </c>
      <c r="D90" s="33" t="inlineStr">
        <is>
          <t>Awareness of voluntary undertaking and mitigation as penalty factors</t>
        </is>
      </c>
      <c r="E90" s="33" t="inlineStr">
        <is>
          <t>Low</t>
        </is>
      </c>
      <c r="F90" s="34">
        <f>IF(E90="Critical",4,IF(E90="High",3,IF(E90="Medium",2,1)))</f>
        <v/>
      </c>
      <c r="G90" s="35" t="n">
        <v>0.8</v>
      </c>
      <c r="H90" s="33" t="inlineStr">
        <is>
          <t>Yes</t>
        </is>
      </c>
      <c r="I90" s="33" t="inlineStr">
        <is>
          <t>in scope</t>
        </is>
      </c>
      <c r="J90" s="33" t="inlineStr">
        <is>
          <t>s.32, s.33(2), DPDP Act, 2023</t>
        </is>
      </c>
      <c r="K90" s="33" t="inlineStr">
        <is>
          <t>—</t>
        </is>
      </c>
      <c r="L90" s="33" t="inlineStr">
        <is>
          <t>—</t>
        </is>
      </c>
      <c r="M90" s="36" t="n">
        <v>1</v>
      </c>
      <c r="N90" s="34">
        <f>IF(OR(H90="No",M90="",UPPER(M90)="NA"),0,1)</f>
        <v/>
      </c>
      <c r="O90" s="37">
        <f>IF(H90="No","Out of scope",IF(UPPER(M90)="NA","Not applicable",IF(M90="","Not assessed",IF(M90&gt;=4,"Compliant",IF(M90&gt;=3,"Substantially compliant",IF(M90&gt;=2,"Partially compliant","Non-compliant"))))))</f>
        <v/>
      </c>
      <c r="P90" s="34">
        <f>IF(N90=0,"",F90*(4-M90))</f>
        <v/>
      </c>
      <c r="Q90" s="37">
        <f>IF(P90="","",IF(P90&gt;=12,"Critical",IF(P90&gt;=8,"High",IF(P90&gt;=4,"Medium",IF(P90&gt;=1,"Low","None")))))</f>
        <v/>
      </c>
      <c r="R90" s="34">
        <f>IF(AND(N90=1,M90&lt;3),1,0)</f>
        <v/>
      </c>
      <c r="S90" s="34">
        <f>IF(N90=0,"",M90*G90)</f>
        <v/>
      </c>
      <c r="T90" s="34">
        <f>IF(N90=0,"",4*G90)</f>
        <v/>
      </c>
      <c r="U90" s="27" t="inlineStr">
        <is>
          <t>Management was not aware of the voluntary undertaking mechanism or that mitigating action and its timeliness are express factors in determining a penalty. The practical significance — that documented prompt remediation of the findings in this report is itself risk mitigation — had not been considered.</t>
        </is>
      </c>
      <c r="V90" s="27" t="inlineStr">
        <is>
          <t>WP-151</t>
        </is>
      </c>
      <c r="W90" s="27" t="inlineStr">
        <is>
          <t>Meera Raghunathan, Head of Legal &amp; Compliance</t>
        </is>
      </c>
      <c r="X90" s="27" t="inlineStr"/>
      <c r="Y90" s="33" t="inlineStr">
        <is>
          <t>The Board may accept a voluntary undertaking at any stage after receipt of a complaint, and in determining the quantum of a penalty must have regard to factors including the promptness, effectiveness and timeliness of mitigating action taken.</t>
        </is>
      </c>
      <c r="Z90" s="33" t="inlineStr">
        <is>
          <t>Do those who would manage an enforcement matter understand the voluntary undertaking mechanism and the section 33(2) mitigation factors, so that decisions in the first days of an incident are taken with exposure in mind?</t>
        </is>
      </c>
      <c r="AA90" s="33" t="inlineStr">
        <is>
          <t>Enquire of legal and privacy leadership; inspect any playbook addressing enforcement strategy and mitigation documentation.</t>
        </is>
      </c>
      <c r="AB90" s="33" t="inlineStr">
        <is>
          <t>Playbook or briefing covering voluntary undertakings and mitigation factors · Practice of contemporaneously documenting mitigating action during incidents · Evidence of legal involvement from the outset of incidents</t>
        </is>
      </c>
      <c r="AC90" s="33" t="inlineStr">
        <is>
          <t>—</t>
        </is>
      </c>
      <c r="AD90" s="35" t="inlineStr"/>
      <c r="AE90" s="33" t="inlineStr">
        <is>
          <t>Enforcement strategy is documented and understood, mitigating action is recorded contemporaneously during incidents, and legal is engaged from the outset.</t>
        </is>
      </c>
    </row>
    <row r="91" ht="42" customHeight="1">
      <c r="A91" s="33" t="inlineStr">
        <is>
          <t>BRD-03</t>
        </is>
      </c>
      <c r="B91" s="33" t="inlineStr">
        <is>
          <t>BRD</t>
        </is>
      </c>
      <c r="C91" s="33" t="inlineStr">
        <is>
          <t>Enforcement Readiness &amp; Board Engagement</t>
        </is>
      </c>
      <c r="D91" s="33" t="inlineStr">
        <is>
          <t>Remediation plan owned, funded and tracked</t>
        </is>
      </c>
      <c r="E91" s="33" t="inlineStr">
        <is>
          <t>High</t>
        </is>
      </c>
      <c r="F91" s="34">
        <f>IF(E91="Critical",4,IF(E91="High",3,IF(E91="Medium",2,1)))</f>
        <v/>
      </c>
      <c r="G91" s="35" t="n">
        <v>1.1</v>
      </c>
      <c r="H91" s="33" t="inlineStr">
        <is>
          <t>Yes</t>
        </is>
      </c>
      <c r="I91" s="33" t="inlineStr">
        <is>
          <t>in scope</t>
        </is>
      </c>
      <c r="J91" s="33" t="inlineStr">
        <is>
          <t>s.8(1), s.33(2), DPDP Act, 2023</t>
        </is>
      </c>
      <c r="K91" s="33" t="inlineStr">
        <is>
          <t>—</t>
        </is>
      </c>
      <c r="L91" s="33" t="inlineStr">
        <is>
          <t>—</t>
        </is>
      </c>
      <c r="M91" s="36" t="n">
        <v>2</v>
      </c>
      <c r="N91" s="34">
        <f>IF(OR(H91="No",M91="",UPPER(M91)="NA"),0,1)</f>
        <v/>
      </c>
      <c r="O91" s="37">
        <f>IF(H91="No","Out of scope",IF(UPPER(M91)="NA","Not applicable",IF(M91="","Not assessed",IF(M91&gt;=4,"Compliant",IF(M91&gt;=3,"Substantially compliant",IF(M91&gt;=2,"Partially compliant","Non-compliant"))))))</f>
        <v/>
      </c>
      <c r="P91" s="34">
        <f>IF(N91=0,"",F91*(4-M91))</f>
        <v/>
      </c>
      <c r="Q91" s="37">
        <f>IF(P91="","",IF(P91&gt;=12,"Critical",IF(P91&gt;=8,"High",IF(P91&gt;=4,"Medium",IF(P91&gt;=1,"Low","None")))))</f>
        <v/>
      </c>
      <c r="R91" s="34">
        <f>IF(AND(N91=1,M91&lt;3),1,0)</f>
        <v/>
      </c>
      <c r="S91" s="34">
        <f>IF(N91=0,"",M91*G91)</f>
        <v/>
      </c>
      <c r="T91" s="34">
        <f>IF(N91=0,"",4*G91)</f>
        <v/>
      </c>
      <c r="U91" s="27" t="inlineStr">
        <is>
          <t>A remediation tracker exists and carries 23 open privacy items. Fourteen have no owner, 19 have no target date, and no budget has been allocated for the engineering work that the erasure, consent and withdrawal findings in this report will require. Without funding and ownership the plan is a list rather than a commitment.</t>
        </is>
      </c>
      <c r="V91" s="27" t="inlineStr">
        <is>
          <t>WP-152</t>
        </is>
      </c>
      <c r="W91" s="27" t="inlineStr">
        <is>
          <t>Vikram Shetty, Chief Financial Officer</t>
        </is>
      </c>
      <c r="X91" s="27" t="inlineStr"/>
      <c r="Y91" s="33" t="inlineStr">
        <is>
          <t>Accountability under section 8(1), together with the treatment of mitigation as a factor in penalty determination, requires that known gaps be subject to a plan that is actually resourced and progressed.</t>
        </is>
      </c>
      <c r="Z91" s="33" t="inlineStr">
        <is>
          <t>Are identified compliance gaps captured in a single plan with named owners, dates and funding, and is progress reported and enforced — or does the plan exist as a document that no one is measured against?</t>
        </is>
      </c>
      <c r="AA91" s="33" t="inlineStr">
        <is>
          <t>Inspect the remediation plan and progress reporting; test a sample of items for evidence of actual progress against the recorded dates.</t>
        </is>
      </c>
      <c r="AB91" s="33" t="inlineStr">
        <is>
          <t>Consolidated remediation plan with owners, dates, funding and status · Progress reporting to the governance forum · Evidence of items completed and of overdue items escalated</t>
        </is>
      </c>
      <c r="AC91" s="33" t="inlineStr">
        <is>
          <t>—</t>
        </is>
      </c>
      <c r="AD91" s="35" t="inlineStr"/>
      <c r="AE91" s="33" t="inlineStr">
        <is>
          <t>A funded plan with named owners and dates is reported to governance, completions are evidenced, and overdue items are escalated and replanned deliberately.</t>
        </is>
      </c>
    </row>
  </sheetData>
  <autoFilter ref="A1:AE91"/>
  <dataValidations count="1">
    <dataValidation sqref="M2 M3 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showDropDown="0" showInputMessage="0" showErrorMessage="0" allowBlank="1" errorTitle="Invalid score" error="Enter a whole number 0-4, or NA where the control cannot apply." type="list">
      <formula1>"0,1,2,3,4,NA"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9"/>
  <sheetViews>
    <sheetView workbookViewId="0">
      <pane ySplit="1" topLeftCell="A2" activePane="bottomLeft" state="frozen"/>
      <selection pane="bottomLeft" activeCell="A1" sqref="A1"/>
    </sheetView>
  </sheetViews>
  <sheetFormatPr baseColWidth="8" defaultRowHeight="15"/>
  <cols>
    <col width="15" customWidth="1" min="1" max="1"/>
    <col width="16" customWidth="1" min="2" max="2"/>
    <col width="46" customWidth="1" min="3" max="3"/>
    <col width="16" customWidth="1" min="4" max="4"/>
    <col width="26" customWidth="1" min="5" max="5"/>
    <col width="14" customWidth="1" min="6" max="6"/>
    <col width="16" customWidth="1" min="7" max="7"/>
    <col width="44" customWidth="1" min="8" max="8"/>
    <col width="34" customWidth="1" min="9" max="9"/>
  </cols>
  <sheetData>
    <row r="1" ht="30" customHeight="1">
      <c r="A1" s="11" t="inlineStr">
        <is>
          <t>Workpaper ref</t>
        </is>
      </c>
      <c r="B1" s="11" t="inlineStr">
        <is>
          <t>Control ID(s)</t>
        </is>
      </c>
      <c r="C1" s="11" t="inlineStr">
        <is>
          <t>Evidence obtained</t>
        </is>
      </c>
      <c r="D1" s="11" t="inlineStr">
        <is>
          <t>Type</t>
        </is>
      </c>
      <c r="E1" s="11" t="inlineStr">
        <is>
          <t>Source / provided by</t>
        </is>
      </c>
      <c r="F1" s="11" t="inlineStr">
        <is>
          <t>Date obtained</t>
        </is>
      </c>
      <c r="G1" s="11" t="inlineStr">
        <is>
          <t>Tested by</t>
        </is>
      </c>
      <c r="H1" s="11" t="inlineStr">
        <is>
          <t>Conclusion</t>
        </is>
      </c>
      <c r="I1" s="11" t="inlineStr">
        <is>
          <t>File location</t>
        </is>
      </c>
    </row>
    <row r="2" ht="40" customHeight="1">
      <c r="A2" s="43" t="inlineStr">
        <is>
          <t>WP-001</t>
        </is>
      </c>
      <c r="B2" s="43" t="inlineStr">
        <is>
          <t>CON-07</t>
        </is>
      </c>
      <c r="C2" s="43" t="inlineStr">
        <is>
          <t>Export of consent artefacts for 3 sampled Data Principals, showing purpose set, timestamp, interface and notice version</t>
        </is>
      </c>
      <c r="D2" s="43" t="inlineStr">
        <is>
          <t>System export</t>
        </is>
      </c>
      <c r="E2" s="43" t="inlineStr">
        <is>
          <t>Head of Engineering</t>
        </is>
      </c>
      <c r="F2" s="43" t="inlineStr">
        <is>
          <t>2026-08-14</t>
        </is>
      </c>
      <c r="G2" s="43" t="inlineStr">
        <is>
          <t>(auditor)</t>
        </is>
      </c>
      <c r="H2" s="43" t="inlineStr">
        <is>
          <t>Artefacts retrieved for all 3; notice version present. No exception.</t>
        </is>
      </c>
      <c r="I2" s="43" t="inlineStr">
        <is>
          <t>/audit/wp/001-consent-export.csv</t>
        </is>
      </c>
    </row>
    <row r="3">
      <c r="A3" s="2" t="inlineStr">
        <is>
          <t>↑ example row — overwrite or delete. Rows below are for your entries.</t>
        </is>
      </c>
    </row>
    <row r="4">
      <c r="A4" s="27" t="n"/>
      <c r="B4" s="27" t="n"/>
      <c r="C4" s="27" t="n"/>
      <c r="D4" s="27" t="n"/>
      <c r="E4" s="27" t="n"/>
      <c r="F4" s="27" t="n"/>
      <c r="G4" s="27" t="n"/>
      <c r="H4" s="27" t="n"/>
      <c r="I4" s="27" t="n"/>
    </row>
    <row r="5">
      <c r="A5" s="27" t="n"/>
      <c r="B5" s="27" t="n"/>
      <c r="C5" s="27" t="n"/>
      <c r="D5" s="27" t="n"/>
      <c r="E5" s="27" t="n"/>
      <c r="F5" s="27" t="n"/>
      <c r="G5" s="27" t="n"/>
      <c r="H5" s="27" t="n"/>
      <c r="I5" s="27" t="n"/>
    </row>
    <row r="6">
      <c r="A6" s="27" t="n"/>
      <c r="B6" s="27" t="n"/>
      <c r="C6" s="27" t="n"/>
      <c r="D6" s="27" t="n"/>
      <c r="E6" s="27" t="n"/>
      <c r="F6" s="27" t="n"/>
      <c r="G6" s="27" t="n"/>
      <c r="H6" s="27" t="n"/>
      <c r="I6" s="27" t="n"/>
    </row>
    <row r="7">
      <c r="A7" s="27" t="n"/>
      <c r="B7" s="27" t="n"/>
      <c r="C7" s="27" t="n"/>
      <c r="D7" s="27" t="n"/>
      <c r="E7" s="27" t="n"/>
      <c r="F7" s="27" t="n"/>
      <c r="G7" s="27" t="n"/>
      <c r="H7" s="27" t="n"/>
      <c r="I7" s="27" t="n"/>
    </row>
    <row r="8">
      <c r="A8" s="27" t="n"/>
      <c r="B8" s="27" t="n"/>
      <c r="C8" s="27" t="n"/>
      <c r="D8" s="27" t="n"/>
      <c r="E8" s="27" t="n"/>
      <c r="F8" s="27" t="n"/>
      <c r="G8" s="27" t="n"/>
      <c r="H8" s="27" t="n"/>
      <c r="I8" s="27" t="n"/>
    </row>
    <row r="9">
      <c r="A9" s="27" t="n"/>
      <c r="B9" s="27" t="n"/>
      <c r="C9" s="27" t="n"/>
      <c r="D9" s="27" t="n"/>
      <c r="E9" s="27" t="n"/>
      <c r="F9" s="27" t="n"/>
      <c r="G9" s="27" t="n"/>
      <c r="H9" s="27" t="n"/>
      <c r="I9" s="27" t="n"/>
    </row>
    <row r="10">
      <c r="A10" s="27" t="n"/>
      <c r="B10" s="27" t="n"/>
      <c r="C10" s="27" t="n"/>
      <c r="D10" s="27" t="n"/>
      <c r="E10" s="27" t="n"/>
      <c r="F10" s="27" t="n"/>
      <c r="G10" s="27" t="n"/>
      <c r="H10" s="27" t="n"/>
      <c r="I10" s="27" t="n"/>
    </row>
    <row r="11">
      <c r="A11" s="27" t="n"/>
      <c r="B11" s="27" t="n"/>
      <c r="C11" s="27" t="n"/>
      <c r="D11" s="27" t="n"/>
      <c r="E11" s="27" t="n"/>
      <c r="F11" s="27" t="n"/>
      <c r="G11" s="27" t="n"/>
      <c r="H11" s="27" t="n"/>
      <c r="I11" s="27" t="n"/>
    </row>
    <row r="12">
      <c r="A12" s="27" t="n"/>
      <c r="B12" s="27" t="n"/>
      <c r="C12" s="27" t="n"/>
      <c r="D12" s="27" t="n"/>
      <c r="E12" s="27" t="n"/>
      <c r="F12" s="27" t="n"/>
      <c r="G12" s="27" t="n"/>
      <c r="H12" s="27" t="n"/>
      <c r="I12" s="27" t="n"/>
    </row>
    <row r="13">
      <c r="A13" s="27" t="n"/>
      <c r="B13" s="27" t="n"/>
      <c r="C13" s="27" t="n"/>
      <c r="D13" s="27" t="n"/>
      <c r="E13" s="27" t="n"/>
      <c r="F13" s="27" t="n"/>
      <c r="G13" s="27" t="n"/>
      <c r="H13" s="27" t="n"/>
      <c r="I13" s="27" t="n"/>
    </row>
    <row r="14">
      <c r="A14" s="27" t="n"/>
      <c r="B14" s="27" t="n"/>
      <c r="C14" s="27" t="n"/>
      <c r="D14" s="27" t="n"/>
      <c r="E14" s="27" t="n"/>
      <c r="F14" s="27" t="n"/>
      <c r="G14" s="27" t="n"/>
      <c r="H14" s="27" t="n"/>
      <c r="I14" s="27" t="n"/>
    </row>
    <row r="15">
      <c r="A15" s="27" t="n"/>
      <c r="B15" s="27" t="n"/>
      <c r="C15" s="27" t="n"/>
      <c r="D15" s="27" t="n"/>
      <c r="E15" s="27" t="n"/>
      <c r="F15" s="27" t="n"/>
      <c r="G15" s="27" t="n"/>
      <c r="H15" s="27" t="n"/>
      <c r="I15" s="27" t="n"/>
    </row>
    <row r="16">
      <c r="A16" s="27" t="n"/>
      <c r="B16" s="27" t="n"/>
      <c r="C16" s="27" t="n"/>
      <c r="D16" s="27" t="n"/>
      <c r="E16" s="27" t="n"/>
      <c r="F16" s="27" t="n"/>
      <c r="G16" s="27" t="n"/>
      <c r="H16" s="27" t="n"/>
      <c r="I16" s="27" t="n"/>
    </row>
    <row r="17">
      <c r="A17" s="27" t="n"/>
      <c r="B17" s="27" t="n"/>
      <c r="C17" s="27" t="n"/>
      <c r="D17" s="27" t="n"/>
      <c r="E17" s="27" t="n"/>
      <c r="F17" s="27" t="n"/>
      <c r="G17" s="27" t="n"/>
      <c r="H17" s="27" t="n"/>
      <c r="I17" s="27" t="n"/>
    </row>
    <row r="18">
      <c r="A18" s="27" t="n"/>
      <c r="B18" s="27" t="n"/>
      <c r="C18" s="27" t="n"/>
      <c r="D18" s="27" t="n"/>
      <c r="E18" s="27" t="n"/>
      <c r="F18" s="27" t="n"/>
      <c r="G18" s="27" t="n"/>
      <c r="H18" s="27" t="n"/>
      <c r="I18" s="27" t="n"/>
    </row>
    <row r="19">
      <c r="A19" s="27" t="n"/>
      <c r="B19" s="27" t="n"/>
      <c r="C19" s="27" t="n"/>
      <c r="D19" s="27" t="n"/>
      <c r="E19" s="27" t="n"/>
      <c r="F19" s="27" t="n"/>
      <c r="G19" s="27" t="n"/>
      <c r="H19" s="27" t="n"/>
      <c r="I19" s="27" t="n"/>
    </row>
    <row r="20">
      <c r="A20" s="27" t="n"/>
      <c r="B20" s="27" t="n"/>
      <c r="C20" s="27" t="n"/>
      <c r="D20" s="27" t="n"/>
      <c r="E20" s="27" t="n"/>
      <c r="F20" s="27" t="n"/>
      <c r="G20" s="27" t="n"/>
      <c r="H20" s="27" t="n"/>
      <c r="I20" s="27" t="n"/>
    </row>
    <row r="21">
      <c r="A21" s="27" t="n"/>
      <c r="B21" s="27" t="n"/>
      <c r="C21" s="27" t="n"/>
      <c r="D21" s="27" t="n"/>
      <c r="E21" s="27" t="n"/>
      <c r="F21" s="27" t="n"/>
      <c r="G21" s="27" t="n"/>
      <c r="H21" s="27" t="n"/>
      <c r="I21" s="27" t="n"/>
    </row>
    <row r="22">
      <c r="A22" s="27" t="n"/>
      <c r="B22" s="27" t="n"/>
      <c r="C22" s="27" t="n"/>
      <c r="D22" s="27" t="n"/>
      <c r="E22" s="27" t="n"/>
      <c r="F22" s="27" t="n"/>
      <c r="G22" s="27" t="n"/>
      <c r="H22" s="27" t="n"/>
      <c r="I22" s="27" t="n"/>
    </row>
    <row r="23">
      <c r="A23" s="27" t="n"/>
      <c r="B23" s="27" t="n"/>
      <c r="C23" s="27" t="n"/>
      <c r="D23" s="27" t="n"/>
      <c r="E23" s="27" t="n"/>
      <c r="F23" s="27" t="n"/>
      <c r="G23" s="27" t="n"/>
      <c r="H23" s="27" t="n"/>
      <c r="I23" s="27" t="n"/>
    </row>
    <row r="24">
      <c r="A24" s="27" t="n"/>
      <c r="B24" s="27" t="n"/>
      <c r="C24" s="27" t="n"/>
      <c r="D24" s="27" t="n"/>
      <c r="E24" s="27" t="n"/>
      <c r="F24" s="27" t="n"/>
      <c r="G24" s="27" t="n"/>
      <c r="H24" s="27" t="n"/>
      <c r="I24" s="27" t="n"/>
    </row>
    <row r="25">
      <c r="A25" s="27" t="n"/>
      <c r="B25" s="27" t="n"/>
      <c r="C25" s="27" t="n"/>
      <c r="D25" s="27" t="n"/>
      <c r="E25" s="27" t="n"/>
      <c r="F25" s="27" t="n"/>
      <c r="G25" s="27" t="n"/>
      <c r="H25" s="27" t="n"/>
      <c r="I25" s="27" t="n"/>
    </row>
    <row r="26">
      <c r="A26" s="27" t="n"/>
      <c r="B26" s="27" t="n"/>
      <c r="C26" s="27" t="n"/>
      <c r="D26" s="27" t="n"/>
      <c r="E26" s="27" t="n"/>
      <c r="F26" s="27" t="n"/>
      <c r="G26" s="27" t="n"/>
      <c r="H26" s="27" t="n"/>
      <c r="I26" s="27" t="n"/>
    </row>
    <row r="27">
      <c r="A27" s="27" t="n"/>
      <c r="B27" s="27" t="n"/>
      <c r="C27" s="27" t="n"/>
      <c r="D27" s="27" t="n"/>
      <c r="E27" s="27" t="n"/>
      <c r="F27" s="27" t="n"/>
      <c r="G27" s="27" t="n"/>
      <c r="H27" s="27" t="n"/>
      <c r="I27" s="27" t="n"/>
    </row>
    <row r="28">
      <c r="A28" s="27" t="n"/>
      <c r="B28" s="27" t="n"/>
      <c r="C28" s="27" t="n"/>
      <c r="D28" s="27" t="n"/>
      <c r="E28" s="27" t="n"/>
      <c r="F28" s="27" t="n"/>
      <c r="G28" s="27" t="n"/>
      <c r="H28" s="27" t="n"/>
      <c r="I28" s="27" t="n"/>
    </row>
    <row r="29">
      <c r="A29" s="27" t="n"/>
      <c r="B29" s="27" t="n"/>
      <c r="C29" s="27" t="n"/>
      <c r="D29" s="27" t="n"/>
      <c r="E29" s="27" t="n"/>
      <c r="F29" s="27" t="n"/>
      <c r="G29" s="27" t="n"/>
      <c r="H29" s="27" t="n"/>
      <c r="I29" s="27" t="n"/>
    </row>
    <row r="30">
      <c r="A30" s="27" t="n"/>
      <c r="B30" s="27" t="n"/>
      <c r="C30" s="27" t="n"/>
      <c r="D30" s="27" t="n"/>
      <c r="E30" s="27" t="n"/>
      <c r="F30" s="27" t="n"/>
      <c r="G30" s="27" t="n"/>
      <c r="H30" s="27" t="n"/>
      <c r="I30" s="27" t="n"/>
    </row>
    <row r="31">
      <c r="A31" s="27" t="n"/>
      <c r="B31" s="27" t="n"/>
      <c r="C31" s="27" t="n"/>
      <c r="D31" s="27" t="n"/>
      <c r="E31" s="27" t="n"/>
      <c r="F31" s="27" t="n"/>
      <c r="G31" s="27" t="n"/>
      <c r="H31" s="27" t="n"/>
      <c r="I31" s="27" t="n"/>
    </row>
    <row r="32">
      <c r="A32" s="27" t="n"/>
      <c r="B32" s="27" t="n"/>
      <c r="C32" s="27" t="n"/>
      <c r="D32" s="27" t="n"/>
      <c r="E32" s="27" t="n"/>
      <c r="F32" s="27" t="n"/>
      <c r="G32" s="27" t="n"/>
      <c r="H32" s="27" t="n"/>
      <c r="I32" s="27" t="n"/>
    </row>
    <row r="33">
      <c r="A33" s="27" t="n"/>
      <c r="B33" s="27" t="n"/>
      <c r="C33" s="27" t="n"/>
      <c r="D33" s="27" t="n"/>
      <c r="E33" s="27" t="n"/>
      <c r="F33" s="27" t="n"/>
      <c r="G33" s="27" t="n"/>
      <c r="H33" s="27" t="n"/>
      <c r="I33" s="27" t="n"/>
    </row>
    <row r="34">
      <c r="A34" s="27" t="n"/>
      <c r="B34" s="27" t="n"/>
      <c r="C34" s="27" t="n"/>
      <c r="D34" s="27" t="n"/>
      <c r="E34" s="27" t="n"/>
      <c r="F34" s="27" t="n"/>
      <c r="G34" s="27" t="n"/>
      <c r="H34" s="27" t="n"/>
      <c r="I34" s="27" t="n"/>
    </row>
    <row r="35">
      <c r="A35" s="27" t="n"/>
      <c r="B35" s="27" t="n"/>
      <c r="C35" s="27" t="n"/>
      <c r="D35" s="27" t="n"/>
      <c r="E35" s="27" t="n"/>
      <c r="F35" s="27" t="n"/>
      <c r="G35" s="27" t="n"/>
      <c r="H35" s="27" t="n"/>
      <c r="I35" s="27" t="n"/>
    </row>
    <row r="36">
      <c r="A36" s="27" t="n"/>
      <c r="B36" s="27" t="n"/>
      <c r="C36" s="27" t="n"/>
      <c r="D36" s="27" t="n"/>
      <c r="E36" s="27" t="n"/>
      <c r="F36" s="27" t="n"/>
      <c r="G36" s="27" t="n"/>
      <c r="H36" s="27" t="n"/>
      <c r="I36" s="27" t="n"/>
    </row>
    <row r="37">
      <c r="A37" s="27" t="n"/>
      <c r="B37" s="27" t="n"/>
      <c r="C37" s="27" t="n"/>
      <c r="D37" s="27" t="n"/>
      <c r="E37" s="27" t="n"/>
      <c r="F37" s="27" t="n"/>
      <c r="G37" s="27" t="n"/>
      <c r="H37" s="27" t="n"/>
      <c r="I37" s="27" t="n"/>
    </row>
    <row r="38">
      <c r="A38" s="27" t="n"/>
      <c r="B38" s="27" t="n"/>
      <c r="C38" s="27" t="n"/>
      <c r="D38" s="27" t="n"/>
      <c r="E38" s="27" t="n"/>
      <c r="F38" s="27" t="n"/>
      <c r="G38" s="27" t="n"/>
      <c r="H38" s="27" t="n"/>
      <c r="I38" s="27" t="n"/>
    </row>
    <row r="39">
      <c r="A39" s="27" t="n"/>
      <c r="B39" s="27" t="n"/>
      <c r="C39" s="27" t="n"/>
      <c r="D39" s="27" t="n"/>
      <c r="E39" s="27" t="n"/>
      <c r="F39" s="27" t="n"/>
      <c r="G39" s="27" t="n"/>
      <c r="H39" s="27" t="n"/>
      <c r="I39" s="27" t="n"/>
    </row>
    <row r="40">
      <c r="A40" s="27" t="n"/>
      <c r="B40" s="27" t="n"/>
      <c r="C40" s="27" t="n"/>
      <c r="D40" s="27" t="n"/>
      <c r="E40" s="27" t="n"/>
      <c r="F40" s="27" t="n"/>
      <c r="G40" s="27" t="n"/>
      <c r="H40" s="27" t="n"/>
      <c r="I40" s="27" t="n"/>
    </row>
    <row r="41">
      <c r="A41" s="27" t="n"/>
      <c r="B41" s="27" t="n"/>
      <c r="C41" s="27" t="n"/>
      <c r="D41" s="27" t="n"/>
      <c r="E41" s="27" t="n"/>
      <c r="F41" s="27" t="n"/>
      <c r="G41" s="27" t="n"/>
      <c r="H41" s="27" t="n"/>
      <c r="I41" s="27" t="n"/>
    </row>
    <row r="42">
      <c r="A42" s="27" t="n"/>
      <c r="B42" s="27" t="n"/>
      <c r="C42" s="27" t="n"/>
      <c r="D42" s="27" t="n"/>
      <c r="E42" s="27" t="n"/>
      <c r="F42" s="27" t="n"/>
      <c r="G42" s="27" t="n"/>
      <c r="H42" s="27" t="n"/>
      <c r="I42" s="27" t="n"/>
    </row>
    <row r="43">
      <c r="A43" s="27" t="n"/>
      <c r="B43" s="27" t="n"/>
      <c r="C43" s="27" t="n"/>
      <c r="D43" s="27" t="n"/>
      <c r="E43" s="27" t="n"/>
      <c r="F43" s="27" t="n"/>
      <c r="G43" s="27" t="n"/>
      <c r="H43" s="27" t="n"/>
      <c r="I43" s="27" t="n"/>
    </row>
    <row r="44">
      <c r="A44" s="27" t="n"/>
      <c r="B44" s="27" t="n"/>
      <c r="C44" s="27" t="n"/>
      <c r="D44" s="27" t="n"/>
      <c r="E44" s="27" t="n"/>
      <c r="F44" s="27" t="n"/>
      <c r="G44" s="27" t="n"/>
      <c r="H44" s="27" t="n"/>
      <c r="I44" s="27" t="n"/>
    </row>
    <row r="45">
      <c r="A45" s="27" t="n"/>
      <c r="B45" s="27" t="n"/>
      <c r="C45" s="27" t="n"/>
      <c r="D45" s="27" t="n"/>
      <c r="E45" s="27" t="n"/>
      <c r="F45" s="27" t="n"/>
      <c r="G45" s="27" t="n"/>
      <c r="H45" s="27" t="n"/>
      <c r="I45" s="27" t="n"/>
    </row>
    <row r="46">
      <c r="A46" s="27" t="n"/>
      <c r="B46" s="27" t="n"/>
      <c r="C46" s="27" t="n"/>
      <c r="D46" s="27" t="n"/>
      <c r="E46" s="27" t="n"/>
      <c r="F46" s="27" t="n"/>
      <c r="G46" s="27" t="n"/>
      <c r="H46" s="27" t="n"/>
      <c r="I46" s="27" t="n"/>
    </row>
    <row r="47">
      <c r="A47" s="27" t="n"/>
      <c r="B47" s="27" t="n"/>
      <c r="C47" s="27" t="n"/>
      <c r="D47" s="27" t="n"/>
      <c r="E47" s="27" t="n"/>
      <c r="F47" s="27" t="n"/>
      <c r="G47" s="27" t="n"/>
      <c r="H47" s="27" t="n"/>
      <c r="I47" s="27" t="n"/>
    </row>
    <row r="48">
      <c r="A48" s="27" t="n"/>
      <c r="B48" s="27" t="n"/>
      <c r="C48" s="27" t="n"/>
      <c r="D48" s="27" t="n"/>
      <c r="E48" s="27" t="n"/>
      <c r="F48" s="27" t="n"/>
      <c r="G48" s="27" t="n"/>
      <c r="H48" s="27" t="n"/>
      <c r="I48" s="27" t="n"/>
    </row>
    <row r="49">
      <c r="A49" s="27" t="n"/>
      <c r="B49" s="27" t="n"/>
      <c r="C49" s="27" t="n"/>
      <c r="D49" s="27" t="n"/>
      <c r="E49" s="27" t="n"/>
      <c r="F49" s="27" t="n"/>
      <c r="G49" s="27" t="n"/>
      <c r="H49" s="27" t="n"/>
      <c r="I49" s="27" t="n"/>
    </row>
    <row r="50">
      <c r="A50" s="27" t="n"/>
      <c r="B50" s="27" t="n"/>
      <c r="C50" s="27" t="n"/>
      <c r="D50" s="27" t="n"/>
      <c r="E50" s="27" t="n"/>
      <c r="F50" s="27" t="n"/>
      <c r="G50" s="27" t="n"/>
      <c r="H50" s="27" t="n"/>
      <c r="I50" s="27" t="n"/>
    </row>
    <row r="51">
      <c r="A51" s="27" t="n"/>
      <c r="B51" s="27" t="n"/>
      <c r="C51" s="27" t="n"/>
      <c r="D51" s="27" t="n"/>
      <c r="E51" s="27" t="n"/>
      <c r="F51" s="27" t="n"/>
      <c r="G51" s="27" t="n"/>
      <c r="H51" s="27" t="n"/>
      <c r="I51" s="27" t="n"/>
    </row>
    <row r="52">
      <c r="A52" s="27" t="n"/>
      <c r="B52" s="27" t="n"/>
      <c r="C52" s="27" t="n"/>
      <c r="D52" s="27" t="n"/>
      <c r="E52" s="27" t="n"/>
      <c r="F52" s="27" t="n"/>
      <c r="G52" s="27" t="n"/>
      <c r="H52" s="27" t="n"/>
      <c r="I52" s="27" t="n"/>
    </row>
    <row r="53">
      <c r="A53" s="27" t="n"/>
      <c r="B53" s="27" t="n"/>
      <c r="C53" s="27" t="n"/>
      <c r="D53" s="27" t="n"/>
      <c r="E53" s="27" t="n"/>
      <c r="F53" s="27" t="n"/>
      <c r="G53" s="27" t="n"/>
      <c r="H53" s="27" t="n"/>
      <c r="I53" s="27" t="n"/>
    </row>
    <row r="54">
      <c r="A54" s="27" t="n"/>
      <c r="B54" s="27" t="n"/>
      <c r="C54" s="27" t="n"/>
      <c r="D54" s="27" t="n"/>
      <c r="E54" s="27" t="n"/>
      <c r="F54" s="27" t="n"/>
      <c r="G54" s="27" t="n"/>
      <c r="H54" s="27" t="n"/>
      <c r="I54" s="27" t="n"/>
    </row>
    <row r="55">
      <c r="A55" s="27" t="n"/>
      <c r="B55" s="27" t="n"/>
      <c r="C55" s="27" t="n"/>
      <c r="D55" s="27" t="n"/>
      <c r="E55" s="27" t="n"/>
      <c r="F55" s="27" t="n"/>
      <c r="G55" s="27" t="n"/>
      <c r="H55" s="27" t="n"/>
      <c r="I55" s="27" t="n"/>
    </row>
    <row r="56">
      <c r="A56" s="27" t="n"/>
      <c r="B56" s="27" t="n"/>
      <c r="C56" s="27" t="n"/>
      <c r="D56" s="27" t="n"/>
      <c r="E56" s="27" t="n"/>
      <c r="F56" s="27" t="n"/>
      <c r="G56" s="27" t="n"/>
      <c r="H56" s="27" t="n"/>
      <c r="I56" s="27" t="n"/>
    </row>
    <row r="57">
      <c r="A57" s="27" t="n"/>
      <c r="B57" s="27" t="n"/>
      <c r="C57" s="27" t="n"/>
      <c r="D57" s="27" t="n"/>
      <c r="E57" s="27" t="n"/>
      <c r="F57" s="27" t="n"/>
      <c r="G57" s="27" t="n"/>
      <c r="H57" s="27" t="n"/>
      <c r="I57" s="27" t="n"/>
    </row>
    <row r="58">
      <c r="A58" s="27" t="n"/>
      <c r="B58" s="27" t="n"/>
      <c r="C58" s="27" t="n"/>
      <c r="D58" s="27" t="n"/>
      <c r="E58" s="27" t="n"/>
      <c r="F58" s="27" t="n"/>
      <c r="G58" s="27" t="n"/>
      <c r="H58" s="27" t="n"/>
      <c r="I58" s="27" t="n"/>
    </row>
    <row r="59">
      <c r="A59" s="27" t="n"/>
      <c r="B59" s="27" t="n"/>
      <c r="C59" s="27" t="n"/>
      <c r="D59" s="27" t="n"/>
      <c r="E59" s="27" t="n"/>
      <c r="F59" s="27" t="n"/>
      <c r="G59" s="27" t="n"/>
      <c r="H59" s="27" t="n"/>
      <c r="I59" s="27" t="n"/>
    </row>
  </sheetData>
  <autoFilter ref="A1:I59"/>
  <pageMargins left="0.75" right="0.75" top="1" bottom="1" header="0.5" footer="0.5"/>
</worksheet>
</file>

<file path=xl/worksheets/sheet6.xml><?xml version="1.0" encoding="utf-8"?>
<worksheet xmlns="http://schemas.openxmlformats.org/spreadsheetml/2006/main">
  <sheetPr>
    <outlinePr summaryBelow="1" summaryRight="1"/>
    <pageSetUpPr/>
  </sheetPr>
  <dimension ref="B2:E41"/>
  <sheetViews>
    <sheetView showGridLines="0" workbookViewId="0">
      <selection activeCell="A1" sqref="A1"/>
    </sheetView>
  </sheetViews>
  <sheetFormatPr baseColWidth="8" defaultRowHeight="15"/>
  <cols>
    <col width="3" customWidth="1" min="1" max="1"/>
    <col width="38" customWidth="1" min="2" max="2"/>
    <col width="74" customWidth="1" min="3" max="3"/>
    <col width="34" customWidth="1" min="4" max="4"/>
    <col width="26" customWidth="1" min="5" max="5"/>
  </cols>
  <sheetData>
    <row r="2">
      <c r="B2" s="1" t="inlineStr">
        <is>
          <t>Citation Register</t>
        </is>
      </c>
    </row>
    <row r="3">
      <c r="B3" s="2" t="inlineStr">
        <is>
          <t>The Digital Personal Data Protection Act, 2023 (Act No. 22 of 2023)</t>
        </is>
      </c>
    </row>
    <row r="5">
      <c r="B5" s="3" t="inlineStr">
        <is>
          <t>PENALTY SCHEDULE — s.33 read with the Schedule</t>
        </is>
      </c>
      <c r="C5" s="4" t="n"/>
      <c r="D5" s="4" t="n"/>
      <c r="E5" s="4" t="n"/>
    </row>
    <row r="6">
      <c r="B6" s="11" t="inlineStr">
        <is>
          <t>Entry</t>
        </is>
      </c>
      <c r="C6" s="11" t="inlineStr">
        <is>
          <t>Breach</t>
        </is>
      </c>
      <c r="D6" s="11" t="inlineStr">
        <is>
          <t>Provision</t>
        </is>
      </c>
      <c r="E6" s="11" t="inlineStr">
        <is>
          <t>Maximum</t>
        </is>
      </c>
    </row>
    <row r="7" ht="28" customHeight="1">
      <c r="B7" s="33" t="inlineStr">
        <is>
          <t>Entry 1</t>
        </is>
      </c>
      <c r="C7" s="33" t="inlineStr">
        <is>
          <t>Breach of the obligation to take reasonable security safeguards to prevent personal data breach</t>
        </is>
      </c>
      <c r="D7" s="33" t="inlineStr">
        <is>
          <t>s.8(5)</t>
        </is>
      </c>
      <c r="E7" s="33" t="inlineStr">
        <is>
          <t>Up to INR 250 crore</t>
        </is>
      </c>
    </row>
    <row r="8" ht="28" customHeight="1">
      <c r="B8" s="33" t="inlineStr">
        <is>
          <t>Entry 2</t>
        </is>
      </c>
      <c r="C8" s="33" t="inlineStr">
        <is>
          <t>Breach of the obligation to give the Board or affected Data Principal notice of a personal data breach</t>
        </is>
      </c>
      <c r="D8" s="33" t="inlineStr">
        <is>
          <t>s.8(6)</t>
        </is>
      </c>
      <c r="E8" s="33" t="inlineStr">
        <is>
          <t>Up to INR 200 crore</t>
        </is>
      </c>
    </row>
    <row r="9" ht="28" customHeight="1">
      <c r="B9" s="33" t="inlineStr">
        <is>
          <t>Entry 3</t>
        </is>
      </c>
      <c r="C9" s="33" t="inlineStr">
        <is>
          <t>Breach of additional obligations in relation to children</t>
        </is>
      </c>
      <c r="D9" s="33" t="inlineStr">
        <is>
          <t>s.9</t>
        </is>
      </c>
      <c r="E9" s="33" t="inlineStr">
        <is>
          <t>Up to INR 200 crore</t>
        </is>
      </c>
    </row>
    <row r="10" ht="28" customHeight="1">
      <c r="B10" s="33" t="inlineStr">
        <is>
          <t>Entry 4</t>
        </is>
      </c>
      <c r="C10" s="33" t="inlineStr">
        <is>
          <t>Breach of additional obligations of a Significant Data Fiduciary</t>
        </is>
      </c>
      <c r="D10" s="33" t="inlineStr">
        <is>
          <t>s.10</t>
        </is>
      </c>
      <c r="E10" s="33" t="inlineStr">
        <is>
          <t>Up to INR 150 crore</t>
        </is>
      </c>
    </row>
    <row r="11" ht="28" customHeight="1">
      <c r="B11" s="33" t="inlineStr">
        <is>
          <t>Entry 5</t>
        </is>
      </c>
      <c r="C11" s="33" t="inlineStr">
        <is>
          <t>Breach of the duties of a Data Principal</t>
        </is>
      </c>
      <c r="D11" s="33" t="inlineStr">
        <is>
          <t>s.15</t>
        </is>
      </c>
      <c r="E11" s="33" t="inlineStr">
        <is>
          <t>Up to INR 10,000</t>
        </is>
      </c>
    </row>
    <row r="12" ht="28" customHeight="1">
      <c r="B12" s="33" t="inlineStr">
        <is>
          <t>Entry 6</t>
        </is>
      </c>
      <c r="C12" s="33" t="inlineStr">
        <is>
          <t>Breach of any term of a voluntary undertaking accepted by the Board</t>
        </is>
      </c>
      <c r="D12" s="33" t="inlineStr">
        <is>
          <t>s.32</t>
        </is>
      </c>
      <c r="E12" s="33" t="inlineStr">
        <is>
          <t>Up to the extent applicable for the breach in respect of which proceedings were instituted</t>
        </is>
      </c>
    </row>
    <row r="13" ht="28" customHeight="1">
      <c r="B13" s="33" t="inlineStr">
        <is>
          <t>Entry 7</t>
        </is>
      </c>
      <c r="C13" s="33" t="inlineStr">
        <is>
          <t>Breach of any other provision of the Act or rules made thereunder (residuary)</t>
        </is>
      </c>
      <c r="D13" s="33" t="inlineStr">
        <is>
          <t>residuary</t>
        </is>
      </c>
      <c r="E13" s="33" t="inlineStr">
        <is>
          <t>Up to INR 50 crore</t>
        </is>
      </c>
    </row>
    <row r="16">
      <c r="B16" s="3" t="inlineStr">
        <is>
          <t>DPDP RULES — SLOTS AWAITING VERIFICATION</t>
        </is>
      </c>
      <c r="C16" s="4" t="n"/>
      <c r="D16" s="4" t="n"/>
      <c r="E16" s="4" t="n"/>
    </row>
    <row r="17">
      <c r="B17" s="7" t="inlineStr">
        <is>
          <t>Populate the citation for each slot in controls/citations.yaml and set its status to VERIFIED_RULES. Every deliverable then updates from that single edit. Until then these citations are deliberately blank rather than reconstructed.</t>
        </is>
      </c>
    </row>
    <row r="18"/>
    <row r="20">
      <c r="B20" s="11" t="inlineStr">
        <is>
          <t>Slot key</t>
        </is>
      </c>
      <c r="C20" s="11" t="inlineStr">
        <is>
          <t>Subject matter the Rules address</t>
        </is>
      </c>
      <c r="D20" s="11" t="inlineStr">
        <is>
          <t>Act anchor</t>
        </is>
      </c>
      <c r="E20" s="11" t="inlineStr">
        <is>
          <t>Controls relying on it</t>
        </is>
      </c>
    </row>
    <row r="21" ht="36" customHeight="1">
      <c r="B21" s="44" t="inlineStr">
        <is>
          <t>NOTICE_CONTENT</t>
        </is>
      </c>
      <c r="C21" s="33" t="inlineStr">
        <is>
          <t>Prescribed form, contents and presentation of the notice given to a Data Principal, including itemised description of personal data and purpose, and clarity/plain-language requirements</t>
        </is>
      </c>
      <c r="D21" s="33" t="inlineStr">
        <is>
          <t>s.5(1), s.5(3), s.40(2)</t>
        </is>
      </c>
      <c r="E21" s="33" t="inlineStr">
        <is>
          <t>NOT-01, NOT-02, NOT-03, NOT-04, NOT-05</t>
        </is>
      </c>
    </row>
    <row r="22" ht="36" customHeight="1">
      <c r="B22" s="44" t="inlineStr">
        <is>
          <t>CONSENT_REQUEST_FORM</t>
        </is>
      </c>
      <c r="C22" s="33" t="inlineStr">
        <is>
          <t>Manner in which a consent request is to be presented, including plain-language requirement and contact details of the person answering on behalf of the Data Fiduciary</t>
        </is>
      </c>
      <c r="D22" s="33" t="inlineStr">
        <is>
          <t>s.6(3)</t>
        </is>
      </c>
      <c r="E22" s="33" t="inlineStr">
        <is>
          <t>CON-01, CON-03</t>
        </is>
      </c>
    </row>
    <row r="23" ht="36" customHeight="1">
      <c r="B23" s="44" t="inlineStr">
        <is>
          <t>CONSENT_MANAGER_REGISTRATION</t>
        </is>
      </c>
      <c r="C23" s="33" t="inlineStr">
        <is>
          <t>Conditions of registration of a Consent Manager with the Board, including any minimum net-worth or financial-capacity threshold, technical and operational capability, and governance conditions</t>
        </is>
      </c>
      <c r="D23" s="33" t="inlineStr">
        <is>
          <t>s.6(9)</t>
        </is>
      </c>
      <c r="E23" s="33" t="inlineStr">
        <is>
          <t>CMG-01</t>
        </is>
      </c>
    </row>
    <row r="24" ht="28" customHeight="1">
      <c r="B24" s="44" t="inlineStr">
        <is>
          <t>CONSENT_MANAGER_OBLIGATIONS</t>
        </is>
      </c>
      <c r="C24" s="33" t="inlineStr">
        <is>
          <t>Obligations of a registered Consent Manager, including consent record-keeping, interoperability, and accountability to the Data Principal</t>
        </is>
      </c>
      <c r="D24" s="33" t="inlineStr">
        <is>
          <t>s.6(7), s.6(8), s.6(9)</t>
        </is>
      </c>
      <c r="E24" s="33" t="inlineStr">
        <is>
          <t>CMG-02, CMG-03</t>
        </is>
      </c>
    </row>
    <row r="25" ht="48" customHeight="1">
      <c r="B25" s="44" t="inlineStr">
        <is>
          <t>SECURITY_SAFEGUARDS</t>
        </is>
      </c>
      <c r="C25" s="33" t="inlineStr">
        <is>
          <t>Prescribed reasonable security safeguards — understood to address measures such as encryption/obfuscation/masking, access control, monitoring and logging, retention of logs, backup and recovery, and contractual flow-down to processors</t>
        </is>
      </c>
      <c r="D25" s="33" t="inlineStr">
        <is>
          <t>s.8(4), s.8(5)</t>
        </is>
      </c>
      <c r="E25" s="33" t="inlineStr">
        <is>
          <t>PRO-03, SEC-01, SEC-02, SEC-03, SEC-04, SEC-05, SEC-06, SEC-07, SEC-08, SEC-09</t>
        </is>
      </c>
    </row>
    <row r="26" ht="36" customHeight="1">
      <c r="B26" s="44" t="inlineStr">
        <is>
          <t>BREACH_INTIMATION</t>
        </is>
      </c>
      <c r="C26" s="33" t="inlineStr">
        <is>
          <t>Form, contents, timing and manner of intimating a personal data breach to the Board and to each affected Data Principal, including any initial-versus-detailed reporting split and the outer time limit</t>
        </is>
      </c>
      <c r="D26" s="33" t="inlineStr">
        <is>
          <t>s.8(6)</t>
        </is>
      </c>
      <c r="E26" s="33" t="inlineStr">
        <is>
          <t>BRC-02, BRC-03, BRC-04</t>
        </is>
      </c>
    </row>
    <row r="27" ht="36" customHeight="1">
      <c r="B27" s="44" t="inlineStr">
        <is>
          <t>RETENTION_ERASURE_PERIODS</t>
        </is>
      </c>
      <c r="C27" s="33" t="inlineStr">
        <is>
          <t>Time periods after which personal data must be erased, and the classes of Data Fiduciary and user-count thresholds to which specified periods apply; also any pre-erasure advance notice to the Data Principal</t>
        </is>
      </c>
      <c r="D27" s="33" t="inlineStr">
        <is>
          <t>s.8(7), s.8(10)</t>
        </is>
      </c>
      <c r="E27" s="33" t="inlineStr">
        <is>
          <t>RET-01, RET-02, RET-03, RET-04, RET-05</t>
        </is>
      </c>
    </row>
    <row r="28" ht="36" customHeight="1">
      <c r="B28" s="44" t="inlineStr">
        <is>
          <t>DP_CONTACT_PUBLICATION</t>
        </is>
      </c>
      <c r="C28" s="33" t="inlineStr">
        <is>
          <t>Manner of publishing the business contact information of the Data Protection Officer, or of the person able to answer questions about processing on behalf of the Data Fiduciary</t>
        </is>
      </c>
      <c r="D28" s="33" t="inlineStr">
        <is>
          <t>s.8(8)</t>
        </is>
      </c>
      <c r="E28" s="33" t="inlineStr">
        <is>
          <t>GOV-03</t>
        </is>
      </c>
    </row>
    <row r="29" ht="28" customHeight="1">
      <c r="B29" s="44" t="inlineStr">
        <is>
          <t>GRIEVANCE_RESPONSE_PERIOD</t>
        </is>
      </c>
      <c r="C29" s="33" t="inlineStr">
        <is>
          <t>Period within which a Data Fiduciary or Consent Manager must respond to a grievance of a Data Principal</t>
        </is>
      </c>
      <c r="D29" s="33" t="inlineStr">
        <is>
          <t>s.13(2)</t>
        </is>
      </c>
      <c r="E29" s="33" t="inlineStr">
        <is>
          <t>GRV-02</t>
        </is>
      </c>
    </row>
    <row r="30" ht="36" customHeight="1">
      <c r="B30" s="44" t="inlineStr">
        <is>
          <t>RIGHTS_REQUEST_HANDLING</t>
        </is>
      </c>
      <c r="C30" s="33" t="inlineStr">
        <is>
          <t>Manner in which a Data Principal makes a request to exercise rights, and the manner and period for the Data Fiduciary's response, including verification of identity</t>
        </is>
      </c>
      <c r="D30" s="33" t="inlineStr">
        <is>
          <t>s.11, s.12, s.13</t>
        </is>
      </c>
      <c r="E30" s="33" t="inlineStr">
        <is>
          <t>RGT-01, RGT-02, RGT-03, RGT-05, RGT-06</t>
        </is>
      </c>
    </row>
    <row r="31" ht="28" customHeight="1">
      <c r="B31" s="44" t="inlineStr">
        <is>
          <t>NOMINATION</t>
        </is>
      </c>
      <c r="C31" s="33" t="inlineStr">
        <is>
          <t>Manner in which a Data Principal may nominate another individual to exercise rights in the event of death or incapacity</t>
        </is>
      </c>
      <c r="D31" s="33" t="inlineStr">
        <is>
          <t>s.14</t>
        </is>
      </c>
      <c r="E31" s="33" t="inlineStr">
        <is>
          <t>RGT-04</t>
        </is>
      </c>
    </row>
    <row r="32" ht="36" customHeight="1">
      <c r="B32" s="44" t="inlineStr">
        <is>
          <t>CHILD_CONSENT_VERIFICATION</t>
        </is>
      </c>
      <c r="C32" s="33" t="inlineStr">
        <is>
          <t>Manner of obtaining and verifying the consent of a parent or lawful guardian, including due-diligence steps to confirm the adult is identifiable and is in fact the parent/guardian</t>
        </is>
      </c>
      <c r="D32" s="33" t="inlineStr">
        <is>
          <t>s.9(1)</t>
        </is>
      </c>
      <c r="E32" s="33" t="inlineStr">
        <is>
          <t>CHD-01, CHD-02, CHD-05</t>
        </is>
      </c>
    </row>
    <row r="33" ht="36" customHeight="1">
      <c r="B33" s="44" t="inlineStr">
        <is>
          <t>CHILD_EXEMPT_CLASSES</t>
        </is>
      </c>
      <c r="C33" s="33" t="inlineStr">
        <is>
          <t>Classes of Data Fiduciary, and purposes, exempted from some or all of the additional obligations concerning children, and any lowered age threshold for verifiably safe processing</t>
        </is>
      </c>
      <c r="D33" s="33" t="inlineStr">
        <is>
          <t>s.9(4), s.9(5)</t>
        </is>
      </c>
      <c r="E33" s="33" t="inlineStr">
        <is>
          <t>CHD-03</t>
        </is>
      </c>
    </row>
    <row r="34" ht="36" customHeight="1">
      <c r="B34" s="44" t="inlineStr">
        <is>
          <t>SDF_DPIA_AUDIT</t>
        </is>
      </c>
      <c r="C34" s="33" t="inlineStr">
        <is>
          <t>Manner and periodicity of the Data Protection Impact Assessment and of the independent audit required of a Significant Data Fiduciary, and the reporting of outcomes</t>
        </is>
      </c>
      <c r="D34" s="33" t="inlineStr">
        <is>
          <t>s.10(2)(c)</t>
        </is>
      </c>
      <c r="E34" s="33" t="inlineStr">
        <is>
          <t>SDF-02, SDF-03, SDF-04</t>
        </is>
      </c>
    </row>
    <row r="35" ht="36" customHeight="1">
      <c r="B35" s="44" t="inlineStr">
        <is>
          <t>SDF_ALGORITHMIC_DUE_DILIGENCE</t>
        </is>
      </c>
      <c r="C35" s="33" t="inlineStr">
        <is>
          <t>Due diligence required of a Significant Data Fiduciary to verify that algorithmic software deployed for processing is not likely to pose a risk to the rights of Data Principals</t>
        </is>
      </c>
      <c r="D35" s="33" t="inlineStr">
        <is>
          <t>s.10(2)(c)</t>
        </is>
      </c>
      <c r="E35" s="33" t="inlineStr">
        <is>
          <t>SDF-05</t>
        </is>
      </c>
    </row>
    <row r="36" ht="28" customHeight="1">
      <c r="B36" s="44" t="inlineStr">
        <is>
          <t>SDF_TRANSFER_RESTRICTION</t>
        </is>
      </c>
      <c r="C36" s="33" t="inlineStr">
        <is>
          <t>Any restriction on transfer outside India, by a Significant Data Fiduciary, of specified personal data or traffic/flow data</t>
        </is>
      </c>
      <c r="D36" s="33" t="inlineStr">
        <is>
          <t>s.10(2)(c), s.16</t>
        </is>
      </c>
      <c r="E36" s="33" t="inlineStr">
        <is>
          <t>SDF-06</t>
        </is>
      </c>
    </row>
    <row r="37" ht="36" customHeight="1">
      <c r="B37" s="44" t="inlineStr">
        <is>
          <t>CROSS_BORDER_CONDITIONS</t>
        </is>
      </c>
      <c r="C37" s="33" t="inlineStr">
        <is>
          <t>Conditions or restrictions attaching to transfer of personal data to a country or territory outside India, and the mechanism of notification of restricted countries</t>
        </is>
      </c>
      <c r="D37" s="33" t="inlineStr">
        <is>
          <t>s.16(1)</t>
        </is>
      </c>
      <c r="E37" s="33" t="inlineStr">
        <is>
          <t>XBD-01, XBD-02, XBD-03, XBD-04</t>
        </is>
      </c>
    </row>
    <row r="38" ht="28" customHeight="1">
      <c r="B38" s="44" t="inlineStr">
        <is>
          <t>RESEARCH_ARCHIVING_STANDARDS</t>
        </is>
      </c>
      <c r="C38" s="33" t="inlineStr">
        <is>
          <t>Standards subject to which processing for research, archiving or statistical purposes is exempt from specified provisions</t>
        </is>
      </c>
      <c r="D38" s="33" t="inlineStr">
        <is>
          <t>s.17(2)(b)</t>
        </is>
      </c>
      <c r="E38" s="33" t="inlineStr">
        <is>
          <t>—</t>
        </is>
      </c>
    </row>
    <row r="39" ht="28" customHeight="1">
      <c r="B39" s="44" t="inlineStr">
        <is>
          <t>STARTUP_EXEMPTION_CLASSES</t>
        </is>
      </c>
      <c r="C39" s="33" t="inlineStr">
        <is>
          <t>Classes of Data Fiduciary, including startups, notified as exempt from specified provisions, and the conditions of that exemption</t>
        </is>
      </c>
      <c r="D39" s="33" t="inlineStr">
        <is>
          <t>s.17(3)</t>
        </is>
      </c>
      <c r="E39" s="33" t="inlineStr">
        <is>
          <t>APP-03</t>
        </is>
      </c>
    </row>
    <row r="40" ht="28" customHeight="1">
      <c r="B40" s="44" t="inlineStr">
        <is>
          <t>BOARD_PROCEEDINGS</t>
        </is>
      </c>
      <c r="C40" s="33" t="inlineStr">
        <is>
          <t>Procedure for making a complaint to the Board, the conduct of inquiry, and the manner of digital functioning of the Board</t>
        </is>
      </c>
      <c r="D40" s="33" t="inlineStr">
        <is>
          <t>s.27, s.28</t>
        </is>
      </c>
      <c r="E40" s="33" t="inlineStr">
        <is>
          <t>BRD-01</t>
        </is>
      </c>
    </row>
    <row r="41" ht="28" customHeight="1">
      <c r="B41" s="44" t="inlineStr">
        <is>
          <t>COMMENCEMENT_PHASING</t>
        </is>
      </c>
      <c r="C41" s="33" t="inlineStr">
        <is>
          <t>Dates on which particular provisions of the Act and Rules come into force, including any phased or tranched commencement schedule</t>
        </is>
      </c>
      <c r="D41" s="33" t="inlineStr">
        <is>
          <t>s.1(2)</t>
        </is>
      </c>
      <c r="E41" s="33" t="inlineStr">
        <is>
          <t>APP-05</t>
        </is>
      </c>
    </row>
  </sheetData>
  <mergeCells count="1">
    <mergeCell ref="B17:E1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2026-08-30T11:47:46Z</dcterms:created>
  <dcterms:modified xmlns:dcterms="http://purl.org/dc/terms/" xmlns:xsi="http://www.w3.org/2001/XMLSchema-instance" xsi:type="dcterms:W3CDTF">2026-08-30T11:47:46Z</dcterms:modified>
</cp:coreProperties>
</file>